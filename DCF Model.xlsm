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 defaultThemeVersion="124226"/>
  <xr:revisionPtr revIDLastSave="0" documentId="13_ncr:1_{77B69365-AD67-4BA8-A04F-45587B75B580}" xr6:coauthVersionLast="47" xr6:coauthVersionMax="47" xr10:uidLastSave="{00000000-0000-0000-0000-000000000000}"/>
  <bookViews>
    <workbookView xWindow="-108" yWindow="-108" windowWidth="23256" windowHeight="12456" firstSheet="9" activeTab="14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DCF results" sheetId="15" r:id="rId13"/>
    <sheet name="4.Sources --&gt;" sheetId="1" r:id="rId14"/>
    <sheet name="P&amp;L source" sheetId="2" r:id="rId15"/>
    <sheet name="BS source" sheetId="3" r:id="rId16"/>
  </sheets>
  <calcPr calcId="191029"/>
</workbook>
</file>

<file path=xl/calcChain.xml><?xml version="1.0" encoding="utf-8"?>
<calcChain xmlns="http://schemas.openxmlformats.org/spreadsheetml/2006/main">
  <c r="D6" i="13" l="1"/>
  <c r="E6" i="13"/>
  <c r="D5" i="13"/>
  <c r="E5" i="13"/>
  <c r="E4" i="13"/>
  <c r="D4" i="13"/>
  <c r="C4" i="13"/>
  <c r="C20" i="11"/>
  <c r="C19" i="11"/>
  <c r="H9" i="11"/>
  <c r="I9" i="11"/>
  <c r="J9" i="11"/>
  <c r="K9" i="11"/>
  <c r="G9" i="11"/>
  <c r="E8" i="11"/>
  <c r="D8" i="11"/>
  <c r="G27" i="6"/>
  <c r="G19" i="6"/>
  <c r="D26" i="6"/>
  <c r="D29" i="6"/>
  <c r="D32" i="6" s="1"/>
  <c r="E34" i="6"/>
  <c r="D34" i="6"/>
  <c r="D31" i="6"/>
  <c r="E29" i="6"/>
  <c r="E28" i="6"/>
  <c r="D28" i="6"/>
  <c r="E27" i="6"/>
  <c r="H27" i="6"/>
  <c r="I27" i="6"/>
  <c r="J27" i="6"/>
  <c r="K27" i="6"/>
  <c r="D27" i="6"/>
  <c r="E26" i="6"/>
  <c r="E25" i="6"/>
  <c r="D25" i="6"/>
  <c r="E23" i="6"/>
  <c r="D23" i="6"/>
  <c r="E21" i="6"/>
  <c r="D21" i="6"/>
  <c r="E19" i="6"/>
  <c r="H19" i="6"/>
  <c r="I19" i="6"/>
  <c r="J19" i="6"/>
  <c r="K19" i="6"/>
  <c r="D19" i="6"/>
  <c r="E18" i="6"/>
  <c r="D18" i="6"/>
  <c r="E16" i="6"/>
  <c r="D16" i="6"/>
  <c r="E14" i="6"/>
  <c r="D14" i="6"/>
  <c r="D13" i="6"/>
  <c r="E13" i="6"/>
  <c r="E12" i="6"/>
  <c r="D12" i="6"/>
  <c r="E10" i="6"/>
  <c r="D10" i="6"/>
  <c r="E9" i="6"/>
  <c r="D9" i="6"/>
  <c r="E15" i="6"/>
  <c r="E7" i="6"/>
  <c r="D7" i="6"/>
  <c r="E5" i="6"/>
  <c r="D5" i="6"/>
  <c r="E6" i="6"/>
  <c r="D6" i="6"/>
  <c r="E4" i="6"/>
  <c r="D4" i="6"/>
  <c r="D35" i="6" l="1"/>
  <c r="E31" i="6"/>
  <c r="E32" i="6" s="1"/>
  <c r="D15" i="6"/>
  <c r="H19" i="7"/>
  <c r="I19" i="7"/>
  <c r="J19" i="7"/>
  <c r="K19" i="7"/>
  <c r="G19" i="7"/>
  <c r="H6" i="7"/>
  <c r="I6" i="7"/>
  <c r="J6" i="7"/>
  <c r="K6" i="7"/>
  <c r="G6" i="7"/>
  <c r="H4" i="7"/>
  <c r="I4" i="7"/>
  <c r="J4" i="7"/>
  <c r="K4" i="7"/>
  <c r="G4" i="7"/>
  <c r="D25" i="7"/>
  <c r="E25" i="7"/>
  <c r="F25" i="7"/>
  <c r="C25" i="7"/>
  <c r="D19" i="7"/>
  <c r="E19" i="7"/>
  <c r="C19" i="7"/>
  <c r="C23" i="7" s="1"/>
  <c r="D23" i="7"/>
  <c r="E23" i="7"/>
  <c r="F23" i="7"/>
  <c r="D14" i="7"/>
  <c r="E14" i="7"/>
  <c r="F14" i="7"/>
  <c r="C14" i="7"/>
  <c r="D21" i="7"/>
  <c r="E21" i="7"/>
  <c r="C21" i="7"/>
  <c r="D12" i="7"/>
  <c r="E12" i="7"/>
  <c r="C12" i="7"/>
  <c r="D6" i="7"/>
  <c r="E6" i="7"/>
  <c r="C6" i="7"/>
  <c r="D4" i="7"/>
  <c r="E4" i="7"/>
  <c r="C4" i="7"/>
  <c r="F17" i="7"/>
  <c r="E17" i="7"/>
  <c r="D17" i="7"/>
  <c r="C17" i="7"/>
  <c r="F16" i="7"/>
  <c r="E16" i="7"/>
  <c r="D16" i="7"/>
  <c r="C16" i="7"/>
  <c r="F10" i="7"/>
  <c r="E10" i="7"/>
  <c r="D10" i="7"/>
  <c r="C10" i="7"/>
  <c r="F9" i="7"/>
  <c r="E9" i="7"/>
  <c r="D9" i="7"/>
  <c r="C9" i="7"/>
  <c r="F8" i="7"/>
  <c r="E8" i="7"/>
  <c r="D8" i="7"/>
  <c r="C8" i="7"/>
  <c r="D5" i="7"/>
  <c r="E5" i="7"/>
  <c r="F5" i="7"/>
  <c r="C5" i="7"/>
  <c r="E24" i="5"/>
  <c r="D24" i="5"/>
  <c r="F24" i="5"/>
  <c r="D22" i="5"/>
  <c r="E22" i="5"/>
  <c r="D19" i="5"/>
  <c r="E19" i="5"/>
  <c r="D15" i="5"/>
  <c r="E15" i="5"/>
  <c r="D12" i="5"/>
  <c r="E12" i="5"/>
  <c r="D9" i="5"/>
  <c r="E9" i="5"/>
  <c r="E21" i="5"/>
  <c r="D21" i="5"/>
  <c r="C21" i="5"/>
  <c r="E18" i="5"/>
  <c r="D18" i="5"/>
  <c r="C18" i="5"/>
  <c r="E17" i="5"/>
  <c r="D17" i="5"/>
  <c r="C17" i="5"/>
  <c r="E14" i="5"/>
  <c r="D14" i="5"/>
  <c r="C14" i="5"/>
  <c r="E11" i="5"/>
  <c r="D11" i="5"/>
  <c r="C11" i="5"/>
  <c r="E8" i="5"/>
  <c r="D8" i="5"/>
  <c r="C8" i="5"/>
  <c r="D5" i="5"/>
  <c r="E5" i="5"/>
  <c r="E6" i="5" s="1"/>
  <c r="C5" i="5"/>
  <c r="D4" i="5"/>
  <c r="D6" i="5" s="1"/>
  <c r="E4" i="5"/>
  <c r="C4" i="5"/>
  <c r="K21" i="9"/>
  <c r="J21" i="9"/>
  <c r="I21" i="9"/>
  <c r="H21" i="9"/>
  <c r="G21" i="9"/>
  <c r="K18" i="9"/>
  <c r="J18" i="9"/>
  <c r="I18" i="9"/>
  <c r="H18" i="9"/>
  <c r="G18" i="9"/>
  <c r="H15" i="9"/>
  <c r="I15" i="9"/>
  <c r="J15" i="9"/>
  <c r="K15" i="9"/>
  <c r="G15" i="9"/>
  <c r="E21" i="9"/>
  <c r="D21" i="9"/>
  <c r="C21" i="9"/>
  <c r="E18" i="9"/>
  <c r="D18" i="9"/>
  <c r="C18" i="9"/>
  <c r="D15" i="9"/>
  <c r="E15" i="9"/>
  <c r="C15" i="9"/>
  <c r="D20" i="9"/>
  <c r="E20" i="9"/>
  <c r="C20" i="9"/>
  <c r="D17" i="9"/>
  <c r="E17" i="9"/>
  <c r="D14" i="9"/>
  <c r="E14" i="9"/>
  <c r="C17" i="9"/>
  <c r="C14" i="9"/>
  <c r="H6" i="9"/>
  <c r="I6" i="9"/>
  <c r="J6" i="9"/>
  <c r="K6" i="9"/>
  <c r="H9" i="9"/>
  <c r="I9" i="9"/>
  <c r="J9" i="9"/>
  <c r="K9" i="9"/>
  <c r="H12" i="9"/>
  <c r="I12" i="9"/>
  <c r="J12" i="9"/>
  <c r="K12" i="9"/>
  <c r="G12" i="9"/>
  <c r="G9" i="9"/>
  <c r="G6" i="9"/>
  <c r="D12" i="9"/>
  <c r="E12" i="9"/>
  <c r="D9" i="9"/>
  <c r="E9" i="9"/>
  <c r="D6" i="9"/>
  <c r="E6" i="9"/>
  <c r="C6" i="9"/>
  <c r="C9" i="9"/>
  <c r="C12" i="9"/>
  <c r="D11" i="9"/>
  <c r="E11" i="9"/>
  <c r="C11" i="9"/>
  <c r="D8" i="9"/>
  <c r="E8" i="9"/>
  <c r="C8" i="9"/>
  <c r="D5" i="9"/>
  <c r="E5" i="9"/>
  <c r="C5" i="9"/>
  <c r="D52" i="8"/>
  <c r="E52" i="8"/>
  <c r="C52" i="8"/>
  <c r="E46" i="8"/>
  <c r="D46" i="8"/>
  <c r="C46" i="8"/>
  <c r="E34" i="8"/>
  <c r="D34" i="8"/>
  <c r="C34" i="8"/>
  <c r="E28" i="8"/>
  <c r="D28" i="8"/>
  <c r="C28" i="8"/>
  <c r="D22" i="8"/>
  <c r="E22" i="8"/>
  <c r="C22" i="8"/>
  <c r="G22" i="8"/>
  <c r="K52" i="8"/>
  <c r="K22" i="5" s="1"/>
  <c r="K6" i="6" s="1"/>
  <c r="J52" i="8"/>
  <c r="J22" i="5" s="1"/>
  <c r="J6" i="6" s="1"/>
  <c r="I52" i="8"/>
  <c r="I22" i="5" s="1"/>
  <c r="I6" i="6" s="1"/>
  <c r="H52" i="8"/>
  <c r="H22" i="5" s="1"/>
  <c r="H6" i="6" s="1"/>
  <c r="G52" i="8"/>
  <c r="G22" i="5" s="1"/>
  <c r="G6" i="6" s="1"/>
  <c r="K46" i="8"/>
  <c r="J46" i="8"/>
  <c r="I46" i="8"/>
  <c r="H46" i="8"/>
  <c r="G46" i="8"/>
  <c r="K40" i="8"/>
  <c r="J40" i="8"/>
  <c r="I40" i="8"/>
  <c r="H40" i="8"/>
  <c r="G40" i="8"/>
  <c r="G39" i="8" s="1"/>
  <c r="G17" i="5" s="1"/>
  <c r="G25" i="6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K16" i="8"/>
  <c r="J16" i="8"/>
  <c r="I16" i="8"/>
  <c r="H16" i="8"/>
  <c r="G16" i="8"/>
  <c r="G15" i="8" s="1"/>
  <c r="G5" i="5" s="1"/>
  <c r="D33" i="8"/>
  <c r="E33" i="8"/>
  <c r="D39" i="8"/>
  <c r="E39" i="8"/>
  <c r="D45" i="8"/>
  <c r="E45" i="8"/>
  <c r="D51" i="8"/>
  <c r="E51" i="8"/>
  <c r="F51" i="8"/>
  <c r="C51" i="8"/>
  <c r="C45" i="8"/>
  <c r="C39" i="8"/>
  <c r="C33" i="8"/>
  <c r="D27" i="8"/>
  <c r="E27" i="8"/>
  <c r="C27" i="8"/>
  <c r="D21" i="8"/>
  <c r="E21" i="8"/>
  <c r="C21" i="8"/>
  <c r="D15" i="8"/>
  <c r="E15" i="8"/>
  <c r="C15" i="8"/>
  <c r="H10" i="8"/>
  <c r="I10" i="8"/>
  <c r="J10" i="8"/>
  <c r="K10" i="8"/>
  <c r="G10" i="8"/>
  <c r="D9" i="8"/>
  <c r="E9" i="8"/>
  <c r="E10" i="8" s="1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7" i="4" s="1"/>
  <c r="B18" i="4" s="1"/>
  <c r="B19" i="4" s="1"/>
  <c r="C6" i="5" l="1"/>
  <c r="C9" i="5" s="1"/>
  <c r="C12" i="5" s="1"/>
  <c r="C5" i="13" s="1"/>
  <c r="C6" i="13" s="1"/>
  <c r="E35" i="6"/>
  <c r="G31" i="6"/>
  <c r="H15" i="8"/>
  <c r="H5" i="5" s="1"/>
  <c r="H39" i="8"/>
  <c r="D10" i="8"/>
  <c r="G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C15" i="5" l="1"/>
  <c r="C19" i="5" s="1"/>
  <c r="C24" i="5" s="1"/>
  <c r="G33" i="8"/>
  <c r="G14" i="5" s="1"/>
  <c r="G9" i="6" s="1"/>
  <c r="G4" i="13"/>
  <c r="G4" i="5"/>
  <c r="G6" i="5" s="1"/>
  <c r="G20" i="9"/>
  <c r="G17" i="7" s="1"/>
  <c r="G17" i="9"/>
  <c r="G10" i="7" s="1"/>
  <c r="G14" i="9"/>
  <c r="G5" i="7" s="1"/>
  <c r="G5" i="9"/>
  <c r="G9" i="7" s="1"/>
  <c r="G13" i="6" s="1"/>
  <c r="G45" i="8"/>
  <c r="G18" i="5" s="1"/>
  <c r="G21" i="6" s="1"/>
  <c r="I39" i="8"/>
  <c r="H17" i="5"/>
  <c r="H25" i="6" s="1"/>
  <c r="I15" i="8"/>
  <c r="C22" i="5"/>
  <c r="H9" i="8"/>
  <c r="G21" i="8"/>
  <c r="G27" i="8"/>
  <c r="G11" i="5" s="1"/>
  <c r="E8" i="3"/>
  <c r="K17" i="3"/>
  <c r="J17" i="3"/>
  <c r="D15" i="3"/>
  <c r="F15" i="3"/>
  <c r="F8" i="3"/>
  <c r="D8" i="3"/>
  <c r="L17" i="3"/>
  <c r="E15" i="3"/>
  <c r="L8" i="3"/>
  <c r="K8" i="3"/>
  <c r="J8" i="3"/>
  <c r="G8" i="9" l="1"/>
  <c r="G8" i="7" s="1"/>
  <c r="G12" i="6" s="1"/>
  <c r="G11" i="9"/>
  <c r="G16" i="7" s="1"/>
  <c r="G14" i="6" s="1"/>
  <c r="G8" i="5"/>
  <c r="G9" i="5" s="1"/>
  <c r="G12" i="5" s="1"/>
  <c r="H4" i="13"/>
  <c r="H17" i="9"/>
  <c r="H10" i="7" s="1"/>
  <c r="H4" i="5"/>
  <c r="H6" i="5" s="1"/>
  <c r="H14" i="9"/>
  <c r="H5" i="7" s="1"/>
  <c r="H5" i="9"/>
  <c r="H9" i="7" s="1"/>
  <c r="H13" i="6" s="1"/>
  <c r="H20" i="9"/>
  <c r="H17" i="7" s="1"/>
  <c r="J15" i="8"/>
  <c r="I5" i="5"/>
  <c r="J39" i="8"/>
  <c r="I17" i="5"/>
  <c r="I25" i="6" s="1"/>
  <c r="G18" i="6"/>
  <c r="G16" i="6"/>
  <c r="I9" i="8"/>
  <c r="H45" i="8"/>
  <c r="H18" i="5" s="1"/>
  <c r="H21" i="6" s="1"/>
  <c r="H33" i="8"/>
  <c r="H14" i="5" s="1"/>
  <c r="H9" i="6" s="1"/>
  <c r="H27" i="8"/>
  <c r="H11" i="5" s="1"/>
  <c r="H21" i="8"/>
  <c r="D19" i="3"/>
  <c r="F19" i="3"/>
  <c r="L19" i="3"/>
  <c r="J19" i="3"/>
  <c r="K19" i="3"/>
  <c r="E19" i="3"/>
  <c r="G15" i="6" l="1"/>
  <c r="H8" i="5"/>
  <c r="H11" i="9"/>
  <c r="H16" i="7" s="1"/>
  <c r="H8" i="9"/>
  <c r="H8" i="7" s="1"/>
  <c r="H12" i="6" s="1"/>
  <c r="I4" i="13"/>
  <c r="I4" i="5"/>
  <c r="I6" i="5" s="1"/>
  <c r="I20" i="9"/>
  <c r="I17" i="7" s="1"/>
  <c r="I17" i="9"/>
  <c r="I10" i="7" s="1"/>
  <c r="I14" i="9"/>
  <c r="I5" i="7" s="1"/>
  <c r="I5" i="9"/>
  <c r="I9" i="7" s="1"/>
  <c r="I13" i="6" s="1"/>
  <c r="K15" i="8"/>
  <c r="K5" i="5" s="1"/>
  <c r="J5" i="5"/>
  <c r="H18" i="6"/>
  <c r="G5" i="13"/>
  <c r="G6" i="13" s="1"/>
  <c r="G15" i="5"/>
  <c r="H9" i="5"/>
  <c r="H12" i="5" s="1"/>
  <c r="K39" i="8"/>
  <c r="K17" i="5" s="1"/>
  <c r="K25" i="6" s="1"/>
  <c r="J17" i="5"/>
  <c r="J25" i="6" s="1"/>
  <c r="H16" i="6"/>
  <c r="J9" i="8"/>
  <c r="I21" i="8"/>
  <c r="I45" i="8"/>
  <c r="I18" i="5" s="1"/>
  <c r="I21" i="6" s="1"/>
  <c r="I27" i="8"/>
  <c r="I11" i="5" s="1"/>
  <c r="I33" i="8"/>
  <c r="I14" i="5" s="1"/>
  <c r="I9" i="6" s="1"/>
  <c r="L22" i="3"/>
  <c r="K22" i="3"/>
  <c r="J22" i="3"/>
  <c r="H5" i="13" l="1"/>
  <c r="H6" i="13" s="1"/>
  <c r="H15" i="5"/>
  <c r="I16" i="6"/>
  <c r="G4" i="6"/>
  <c r="G19" i="5"/>
  <c r="H14" i="6"/>
  <c r="H15" i="6" s="1"/>
  <c r="J4" i="13"/>
  <c r="J14" i="9"/>
  <c r="J5" i="7" s="1"/>
  <c r="J5" i="9"/>
  <c r="J9" i="7" s="1"/>
  <c r="J13" i="6" s="1"/>
  <c r="J20" i="9"/>
  <c r="J17" i="7" s="1"/>
  <c r="J17" i="9"/>
  <c r="J10" i="7" s="1"/>
  <c r="J4" i="5"/>
  <c r="J6" i="5" s="1"/>
  <c r="I18" i="6"/>
  <c r="I8" i="5"/>
  <c r="I9" i="5" s="1"/>
  <c r="I12" i="5" s="1"/>
  <c r="I8" i="9"/>
  <c r="I8" i="7" s="1"/>
  <c r="I12" i="6" s="1"/>
  <c r="I11" i="9"/>
  <c r="I16" i="7" s="1"/>
  <c r="K9" i="8"/>
  <c r="J21" i="8"/>
  <c r="J45" i="8"/>
  <c r="J18" i="5" s="1"/>
  <c r="J21" i="6" s="1"/>
  <c r="J27" i="8"/>
  <c r="J11" i="5" s="1"/>
  <c r="J33" i="8"/>
  <c r="J14" i="5" s="1"/>
  <c r="J9" i="6" s="1"/>
  <c r="J16" i="6" l="1"/>
  <c r="I5" i="13"/>
  <c r="I6" i="13" s="1"/>
  <c r="I15" i="5"/>
  <c r="I14" i="6"/>
  <c r="I15" i="6" s="1"/>
  <c r="H4" i="6"/>
  <c r="H19" i="5"/>
  <c r="K4" i="13"/>
  <c r="K4" i="5"/>
  <c r="K6" i="5" s="1"/>
  <c r="K20" i="9"/>
  <c r="K17" i="7" s="1"/>
  <c r="K17" i="9"/>
  <c r="K10" i="7" s="1"/>
  <c r="K14" i="9"/>
  <c r="K5" i="7" s="1"/>
  <c r="K5" i="9"/>
  <c r="K9" i="7" s="1"/>
  <c r="K13" i="6" s="1"/>
  <c r="G5" i="6"/>
  <c r="G7" i="6" s="1"/>
  <c r="G10" i="6" s="1"/>
  <c r="G23" i="6" s="1"/>
  <c r="C4" i="14" s="1"/>
  <c r="J8" i="9"/>
  <c r="J8" i="7" s="1"/>
  <c r="J12" i="6" s="1"/>
  <c r="J8" i="5"/>
  <c r="J9" i="5" s="1"/>
  <c r="J12" i="5" s="1"/>
  <c r="J11" i="9"/>
  <c r="J16" i="7" s="1"/>
  <c r="J18" i="6"/>
  <c r="G21" i="5"/>
  <c r="K21" i="8"/>
  <c r="K27" i="8"/>
  <c r="K11" i="5" s="1"/>
  <c r="K45" i="8"/>
  <c r="K18" i="5" s="1"/>
  <c r="K21" i="6" s="1"/>
  <c r="K33" i="8"/>
  <c r="K14" i="5" s="1"/>
  <c r="K9" i="6" s="1"/>
  <c r="G26" i="6" l="1"/>
  <c r="G24" i="5"/>
  <c r="G21" i="7" s="1"/>
  <c r="K16" i="6"/>
  <c r="H21" i="5"/>
  <c r="H24" i="5" s="1"/>
  <c r="J14" i="6"/>
  <c r="J15" i="6" s="1"/>
  <c r="G8" i="11"/>
  <c r="G10" i="11" s="1"/>
  <c r="C5" i="14" s="1"/>
  <c r="H5" i="6"/>
  <c r="H7" i="6" s="1"/>
  <c r="H10" i="6" s="1"/>
  <c r="H23" i="6" s="1"/>
  <c r="D4" i="14" s="1"/>
  <c r="I4" i="6"/>
  <c r="I19" i="5"/>
  <c r="J5" i="13"/>
  <c r="J6" i="13" s="1"/>
  <c r="J15" i="5"/>
  <c r="K18" i="6"/>
  <c r="K8" i="9"/>
  <c r="K8" i="7" s="1"/>
  <c r="K12" i="6" s="1"/>
  <c r="K11" i="9"/>
  <c r="K16" i="7" s="1"/>
  <c r="K14" i="6" s="1"/>
  <c r="K8" i="5"/>
  <c r="K9" i="5" s="1"/>
  <c r="K12" i="5" s="1"/>
  <c r="K15" i="6" l="1"/>
  <c r="K5" i="13"/>
  <c r="K6" i="13" s="1"/>
  <c r="K15" i="5"/>
  <c r="H8" i="11"/>
  <c r="H10" i="11" s="1"/>
  <c r="D5" i="14" s="1"/>
  <c r="J4" i="6"/>
  <c r="J19" i="5"/>
  <c r="I21" i="5"/>
  <c r="G23" i="7"/>
  <c r="G28" i="6"/>
  <c r="G29" i="6" s="1"/>
  <c r="H21" i="7"/>
  <c r="I5" i="6"/>
  <c r="I7" i="6" s="1"/>
  <c r="I10" i="6" s="1"/>
  <c r="I23" i="6" s="1"/>
  <c r="E4" i="14" s="1"/>
  <c r="H26" i="6"/>
  <c r="I26" i="6" l="1"/>
  <c r="I8" i="11"/>
  <c r="I10" i="11" s="1"/>
  <c r="E5" i="14" s="1"/>
  <c r="J21" i="5"/>
  <c r="K4" i="6"/>
  <c r="K19" i="5"/>
  <c r="K21" i="5" s="1"/>
  <c r="G12" i="7"/>
  <c r="G32" i="6"/>
  <c r="H28" i="6"/>
  <c r="H29" i="6" s="1"/>
  <c r="H23" i="7"/>
  <c r="I24" i="5"/>
  <c r="I21" i="7" s="1"/>
  <c r="J5" i="6"/>
  <c r="J7" i="6" s="1"/>
  <c r="J10" i="6" s="1"/>
  <c r="J23" i="6" s="1"/>
  <c r="F4" i="14" s="1"/>
  <c r="J8" i="11" l="1"/>
  <c r="J10" i="11" s="1"/>
  <c r="F5" i="14" s="1"/>
  <c r="J26" i="6"/>
  <c r="I28" i="6"/>
  <c r="I29" i="6" s="1"/>
  <c r="I23" i="7"/>
  <c r="K24" i="5"/>
  <c r="H12" i="7"/>
  <c r="G34" i="6"/>
  <c r="G14" i="7"/>
  <c r="G25" i="7" s="1"/>
  <c r="K5" i="6"/>
  <c r="K7" i="6" s="1"/>
  <c r="K10" i="6" s="1"/>
  <c r="K23" i="6" s="1"/>
  <c r="G4" i="14" s="1"/>
  <c r="H31" i="6"/>
  <c r="H32" i="6" s="1"/>
  <c r="G35" i="6"/>
  <c r="J24" i="5"/>
  <c r="J21" i="7" s="1"/>
  <c r="J28" i="6" l="1"/>
  <c r="J29" i="6" s="1"/>
  <c r="K21" i="7"/>
  <c r="J23" i="7"/>
  <c r="K8" i="11"/>
  <c r="K26" i="6"/>
  <c r="I31" i="6"/>
  <c r="I32" i="6" s="1"/>
  <c r="H14" i="7"/>
  <c r="H25" i="7" s="1"/>
  <c r="I12" i="7"/>
  <c r="H34" i="6"/>
  <c r="H35" i="6" s="1"/>
  <c r="C16" i="11" l="1"/>
  <c r="C17" i="11" s="1"/>
  <c r="K10" i="11"/>
  <c r="J12" i="7"/>
  <c r="I34" i="6"/>
  <c r="I35" i="6" s="1"/>
  <c r="I14" i="7"/>
  <c r="I25" i="7" s="1"/>
  <c r="K23" i="7"/>
  <c r="K28" i="6"/>
  <c r="K29" i="6" s="1"/>
  <c r="J31" i="6"/>
  <c r="J32" i="6" s="1"/>
  <c r="C15" i="11" l="1"/>
  <c r="C18" i="11" s="1"/>
  <c r="E17" i="11" s="1"/>
  <c r="G5" i="14"/>
  <c r="J34" i="6"/>
  <c r="K12" i="7"/>
  <c r="J14" i="7"/>
  <c r="J25" i="7" s="1"/>
  <c r="K31" i="6"/>
  <c r="K32" i="6" s="1"/>
  <c r="J35" i="6"/>
  <c r="G22" i="11" l="1"/>
  <c r="C21" i="11"/>
  <c r="K34" i="6"/>
  <c r="K35" i="6" s="1"/>
  <c r="K14" i="7"/>
  <c r="K25" i="7" s="1"/>
  <c r="E15" i="11"/>
</calcChain>
</file>

<file path=xl/sharedStrings.xml><?xml version="1.0" encoding="utf-8"?>
<sst xmlns="http://schemas.openxmlformats.org/spreadsheetml/2006/main" count="318" uniqueCount="158">
  <si>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</si>
  <si>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</si>
  <si>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</si>
  <si>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</si>
  <si>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</si>
  <si>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</si>
  <si>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</si>
  <si>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</si>
  <si>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</si>
  <si>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</si>
  <si>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</si>
  <si>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</si>
  <si>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</si>
  <si>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</si>
  <si>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</si>
  <si>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</si>
  <si>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</si>
  <si>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</si>
  <si>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</si>
  <si>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</si>
  <si>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</si>
  <si>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</si>
  <si>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</si>
  <si>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</si>
  <si>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</si>
  <si>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</si>
  <si>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</si>
  <si>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</si>
  <si>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</si>
  <si>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</si>
  <si>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</si>
  <si>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</si>
  <si>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</si>
  <si>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</si>
  <si>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</si>
  <si>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</si>
  <si>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</si>
  <si>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</si>
  <si>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</si>
  <si>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</si>
  <si>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</si>
  <si>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</si>
  <si>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</si>
  <si>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</si>
  <si>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</si>
  <si>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</si>
  <si>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</si>
  <si>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</si>
  <si>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</si>
  <si>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</si>
  <si>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</si>
  <si>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</si>
  <si>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</si>
  <si>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</si>
  <si>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</si>
  <si>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</si>
  <si>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</si>
  <si>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</si>
  <si>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</si>
  <si>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</si>
  <si>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</si>
  <si>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</si>
  <si>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</si>
  <si>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</si>
  <si>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</si>
  <si>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</si>
  <si>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</si>
  <si>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</si>
  <si>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</si>
  <si>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</si>
  <si>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</si>
  <si>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</si>
  <si>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</si>
  <si>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</si>
  <si>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</si>
  <si>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</si>
  <si>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</si>
  <si>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</si>
  <si>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</si>
  <si>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</si>
  <si>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</si>
  <si>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</si>
  <si>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</si>
  <si>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</si>
  <si>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</si>
  <si>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</si>
  <si>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</si>
  <si>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</si>
  <si>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</si>
  <si>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</si>
  <si>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</si>
  <si>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</si>
  <si>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</si>
  <si>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</si>
  <si>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</si>
  <si>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</si>
  <si>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</si>
  <si>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</si>
  <si>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</si>
  <si>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</si>
  <si>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</si>
  <si>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Better than historical growth</t>
  </si>
  <si>
    <t>Average historical growth</t>
  </si>
  <si>
    <t>Worse than historical growth</t>
  </si>
  <si>
    <t>y-o-y growth%</t>
  </si>
  <si>
    <t>Other Revenues</t>
  </si>
  <si>
    <t>% of revenues</t>
  </si>
  <si>
    <t>% of EBT</t>
  </si>
  <si>
    <t>Trade payables</t>
  </si>
  <si>
    <t>Other Liabilities</t>
  </si>
  <si>
    <t>Days receivables</t>
  </si>
  <si>
    <t>Days inventory</t>
  </si>
  <si>
    <t>Days payable</t>
  </si>
  <si>
    <t>as a % of revenue</t>
  </si>
  <si>
    <t>Check</t>
  </si>
  <si>
    <t>Flat</t>
  </si>
  <si>
    <t>Operating taxes</t>
  </si>
  <si>
    <t>Operating tax rate</t>
  </si>
  <si>
    <t>NOPAT</t>
  </si>
  <si>
    <t>Add-back D&amp;A</t>
  </si>
  <si>
    <t>Gross Cash Flow</t>
  </si>
  <si>
    <t>Investments in working capital</t>
  </si>
  <si>
    <t>Investments in other assets/liabilities</t>
  </si>
  <si>
    <t>Capex</t>
  </si>
  <si>
    <t>Other investments</t>
  </si>
  <si>
    <t>UFCF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</si>
  <si>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</si>
  <si>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</si>
  <si>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</si>
  <si>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</si>
  <si>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</si>
  <si>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</si>
  <si>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</si>
  <si>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</si>
  <si>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</si>
  <si>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</si>
  <si>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1)+2)+3)+4)+5)+6)</t>
  </si>
  <si>
    <t>Last year's equity + Net Income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</si>
  <si>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</si>
  <si>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</si>
  <si>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</si>
  <si>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</si>
  <si>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</si>
  <si>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</si>
  <si>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</si>
  <si>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Continuing Value</t>
  </si>
  <si>
    <t>PV of Continuing Value</t>
  </si>
  <si>
    <t>Enterprise Value</t>
  </si>
  <si>
    <t>Cash</t>
  </si>
  <si>
    <t>() Financial Liabilities</t>
  </si>
  <si>
    <t>Equity Value</t>
  </si>
  <si>
    <t>Sensitivity Analysis</t>
  </si>
  <si>
    <t>EBITDA%</t>
  </si>
  <si>
    <t>Present value of UFCF</t>
  </si>
  <si>
    <t>Scenario 1</t>
  </si>
  <si>
    <t>Scenario 2</t>
  </si>
  <si>
    <t>Scenario 3</t>
  </si>
  <si>
    <t>CFs in Forecast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</si>
</sst>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-* #,##0_-;\-* #,##0_-;_-* &quot;-&quot;_-;_-@_-"/>
    <numFmt numFmtId="165" formatCode="_(&quot;$&quot;* #,##0_);_(&quot;$&quot;* \(#,##0\);_(&quot;$&quot;* &quot;-&quot;_);_(@_)"/>
    <numFmt numFmtId="166" formatCode="_(* #,##0.00_);_(* \(#,##0.00\);_(* &quot;-&quot;??_);_(@_)"/>
    <numFmt numFmtId="167" formatCode="_(* #,##0.0_);_(* \(#,##0.0\);_(* &quot;-&quot;?_);@_)"/>
    <numFmt numFmtId="168" formatCode="_(* #,##0.0_);_(* \(#,##0.0\);_(* &quot;-&quot;?_);@_l"/>
    <numFmt numFmtId="169" formatCode="_(* #,##0_);_(* \(#,##0\);_(* &quot;-&quot;?_);@_)"/>
    <numFmt numFmtId="170" formatCode="0.0%"/>
    <numFmt numFmtId="171" formatCode="_(* #,##0_);_(* \(#,##0\);_(* &quot;-&quot;??_);_(@_)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1" formatCode="_(* #,##0.00_);_(* \(#,##0.00\);_(* &quot;-&quot;?_);@_)"/>
    <numFmt numFmtId="185" formatCode="_-[$$-409]* #,##0.00_ ;_-[$$-409]* \-#,##0.00\ ;_-[$$-409]* &quot;-&quot;??_ ;_-@_ 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9"/>
      <name val="Arial"/>
      <family val="2"/>
      <charset val="204"/>
    </font>
    <font>
      <sz val="9"/>
      <color theme="0" tint="-0.1499984740745262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4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22" borderId="0" applyNumberFormat="0" applyBorder="0" applyAlignment="0" applyProtection="0"/>
    <xf numFmtId="0" fontId="11" fillId="0" borderId="0"/>
    <xf numFmtId="0" fontId="18" fillId="6" borderId="0" applyNumberFormat="0" applyBorder="0" applyAlignment="0" applyProtection="0"/>
    <xf numFmtId="0" fontId="19" fillId="23" borderId="6" applyNumberFormat="0" applyAlignment="0" applyProtection="0"/>
    <xf numFmtId="0" fontId="20" fillId="24" borderId="7" applyNumberFormat="0" applyAlignment="0" applyProtection="0"/>
    <xf numFmtId="49" fontId="12" fillId="0" borderId="0">
      <alignment horizontal="left" vertical="top" wrapText="1"/>
    </xf>
    <xf numFmtId="172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7" borderId="0" applyNumberFormat="0" applyBorder="0" applyAlignment="0" applyProtection="0"/>
    <xf numFmtId="38" fontId="12" fillId="25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0" borderId="6" applyNumberFormat="0" applyAlignment="0" applyProtection="0"/>
    <xf numFmtId="10" fontId="12" fillId="4" borderId="11" applyNumberFormat="0" applyBorder="0" applyAlignment="0" applyProtection="0"/>
    <xf numFmtId="0" fontId="27" fillId="0" borderId="12" applyNumberFormat="0" applyFill="0" applyAlignment="0" applyProtection="0"/>
    <xf numFmtId="175" fontId="28" fillId="0" borderId="0" applyFont="0" applyFill="0" applyBorder="0" applyAlignment="0" applyProtection="0"/>
    <xf numFmtId="174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30" fillId="26" borderId="0" applyNumberFormat="0" applyBorder="0" applyAlignment="0" applyProtection="0"/>
    <xf numFmtId="177" fontId="31" fillId="0" borderId="0"/>
    <xf numFmtId="0" fontId="28" fillId="0" borderId="0"/>
    <xf numFmtId="0" fontId="16" fillId="27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3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8" borderId="0" applyNumberFormat="0" applyFont="0" applyBorder="0" applyAlignment="0" applyProtection="0"/>
    <xf numFmtId="3" fontId="44" fillId="29" borderId="0" applyFont="0" applyFill="0" applyBorder="0" applyAlignment="0" applyProtection="0"/>
    <xf numFmtId="4" fontId="35" fillId="30" borderId="14" applyNumberFormat="0" applyProtection="0">
      <alignment vertical="center"/>
    </xf>
    <xf numFmtId="4" fontId="36" fillId="30" borderId="14" applyNumberFormat="0" applyProtection="0">
      <alignment vertical="center"/>
    </xf>
    <xf numFmtId="4" fontId="35" fillId="30" borderId="14" applyNumberFormat="0" applyProtection="0">
      <alignment horizontal="left" vertical="center" indent="1"/>
    </xf>
    <xf numFmtId="4" fontId="35" fillId="30" borderId="14" applyNumberFormat="0" applyProtection="0">
      <alignment horizontal="left" vertical="center" indent="1"/>
    </xf>
    <xf numFmtId="0" fontId="11" fillId="31" borderId="14" applyNumberFormat="0" applyProtection="0">
      <alignment horizontal="left" vertical="center" indent="1"/>
    </xf>
    <xf numFmtId="4" fontId="35" fillId="32" borderId="14" applyNumberFormat="0" applyProtection="0">
      <alignment horizontal="right" vertical="center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7" fillId="41" borderId="14" applyNumberFormat="0" applyProtection="0">
      <alignment horizontal="left" vertical="center" indent="1"/>
    </xf>
    <xf numFmtId="4" fontId="35" fillId="42" borderId="16" applyNumberFormat="0" applyProtection="0">
      <alignment horizontal="left" vertical="center" indent="1"/>
    </xf>
    <xf numFmtId="4" fontId="38" fillId="43" borderId="0" applyNumberFormat="0" applyProtection="0">
      <alignment horizontal="left" vertical="center" indent="1"/>
    </xf>
    <xf numFmtId="0" fontId="11" fillId="31" borderId="14" applyNumberFormat="0" applyProtection="0">
      <alignment horizontal="left" vertical="center" indent="1"/>
    </xf>
    <xf numFmtId="4" fontId="35" fillId="42" borderId="14" applyNumberFormat="0" applyProtection="0">
      <alignment horizontal="left" vertical="center" indent="1"/>
    </xf>
    <xf numFmtId="4" fontId="35" fillId="44" borderId="14" applyNumberFormat="0" applyProtection="0">
      <alignment horizontal="left" vertical="center" indent="1"/>
    </xf>
    <xf numFmtId="0" fontId="11" fillId="44" borderId="14" applyNumberFormat="0" applyProtection="0">
      <alignment horizontal="left" vertical="center" indent="1"/>
    </xf>
    <xf numFmtId="0" fontId="11" fillId="44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25" borderId="14" applyNumberFormat="0" applyProtection="0">
      <alignment horizontal="left" vertical="center" indent="1"/>
    </xf>
    <xf numFmtId="0" fontId="11" fillId="25" borderId="14" applyNumberFormat="0" applyProtection="0">
      <alignment horizontal="left" vertical="center" indent="1"/>
    </xf>
    <xf numFmtId="0" fontId="11" fillId="31" borderId="14" applyNumberFormat="0" applyProtection="0">
      <alignment horizontal="left" vertical="center" indent="1"/>
    </xf>
    <xf numFmtId="0" fontId="11" fillId="31" borderId="14" applyNumberFormat="0" applyProtection="0">
      <alignment horizontal="left" vertical="center" indent="1"/>
    </xf>
    <xf numFmtId="4" fontId="35" fillId="4" borderId="14" applyNumberFormat="0" applyProtection="0">
      <alignment vertical="center"/>
    </xf>
    <xf numFmtId="4" fontId="36" fillId="4" borderId="14" applyNumberFormat="0" applyProtection="0">
      <alignment vertical="center"/>
    </xf>
    <xf numFmtId="4" fontId="35" fillId="4" borderId="14" applyNumberFormat="0" applyProtection="0">
      <alignment horizontal="left" vertical="center" indent="1"/>
    </xf>
    <xf numFmtId="4" fontId="35" fillId="4" borderId="14" applyNumberFormat="0" applyProtection="0">
      <alignment horizontal="left" vertical="center" indent="1"/>
    </xf>
    <xf numFmtId="4" fontId="35" fillId="42" borderId="14" applyNumberFormat="0" applyProtection="0">
      <alignment horizontal="right" vertical="center"/>
    </xf>
    <xf numFmtId="4" fontId="36" fillId="42" borderId="14" applyNumberFormat="0" applyProtection="0">
      <alignment horizontal="right" vertical="center"/>
    </xf>
    <xf numFmtId="0" fontId="11" fillId="31" borderId="14" applyNumberFormat="0" applyProtection="0">
      <alignment horizontal="left" vertical="center" indent="1"/>
    </xf>
    <xf numFmtId="0" fontId="11" fillId="31" borderId="14" applyNumberFormat="0" applyProtection="0">
      <alignment horizontal="left" vertical="center" indent="1"/>
    </xf>
    <xf numFmtId="0" fontId="39" fillId="0" borderId="0"/>
    <xf numFmtId="4" fontId="13" fillId="42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8" fontId="49" fillId="0" borderId="0"/>
    <xf numFmtId="178" fontId="11" fillId="0" borderId="0"/>
    <xf numFmtId="178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8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9" fontId="50" fillId="0" borderId="0" applyFill="0" applyBorder="0">
      <alignment horizontal="right" vertical="top"/>
    </xf>
    <xf numFmtId="180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8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7" fontId="2" fillId="2" borderId="0" xfId="0" applyNumberFormat="1" applyFont="1" applyFill="1"/>
    <xf numFmtId="167" fontId="1" fillId="2" borderId="0" xfId="0" applyNumberFormat="1" applyFont="1" applyFill="1"/>
    <xf numFmtId="167" fontId="3" fillId="2" borderId="2" xfId="0" applyNumberFormat="1" applyFont="1" applyFill="1" applyBorder="1"/>
    <xf numFmtId="167" fontId="3" fillId="2" borderId="2" xfId="0" applyNumberFormat="1" applyFont="1" applyFill="1" applyBorder="1" applyAlignment="1">
      <alignment horizontal="right" wrapText="1"/>
    </xf>
    <xf numFmtId="167" fontId="3" fillId="2" borderId="3" xfId="0" applyNumberFormat="1" applyFont="1" applyFill="1" applyBorder="1"/>
    <xf numFmtId="168" fontId="1" fillId="2" borderId="0" xfId="0" applyNumberFormat="1" applyFont="1" applyFill="1"/>
    <xf numFmtId="168" fontId="2" fillId="2" borderId="0" xfId="0" applyNumberFormat="1" applyFont="1" applyFill="1"/>
    <xf numFmtId="169" fontId="1" fillId="2" borderId="0" xfId="0" applyNumberFormat="1" applyFont="1" applyFill="1"/>
    <xf numFmtId="169" fontId="3" fillId="2" borderId="3" xfId="0" applyNumberFormat="1" applyFont="1" applyFill="1" applyBorder="1"/>
    <xf numFmtId="167" fontId="1" fillId="2" borderId="3" xfId="0" applyNumberFormat="1" applyFont="1" applyFill="1" applyBorder="1"/>
    <xf numFmtId="167" fontId="7" fillId="2" borderId="0" xfId="0" applyNumberFormat="1" applyFont="1" applyFill="1"/>
    <xf numFmtId="167" fontId="5" fillId="2" borderId="4" xfId="0" applyNumberFormat="1" applyFont="1" applyFill="1" applyBorder="1"/>
    <xf numFmtId="167" fontId="5" fillId="2" borderId="4" xfId="0" applyNumberFormat="1" applyFont="1" applyFill="1" applyBorder="1" applyAlignment="1">
      <alignment horizontal="right" wrapText="1"/>
    </xf>
    <xf numFmtId="167" fontId="5" fillId="2" borderId="0" xfId="0" applyNumberFormat="1" applyFont="1" applyFill="1" applyAlignment="1">
      <alignment horizontal="right" wrapText="1"/>
    </xf>
    <xf numFmtId="167" fontId="5" fillId="2" borderId="4" xfId="0" applyNumberFormat="1" applyFont="1" applyFill="1" applyBorder="1" applyAlignment="1">
      <alignment wrapText="1"/>
    </xf>
    <xf numFmtId="167" fontId="5" fillId="2" borderId="0" xfId="0" applyNumberFormat="1" applyFont="1" applyFill="1"/>
    <xf numFmtId="9" fontId="1" fillId="2" borderId="0" xfId="2" applyFont="1" applyFill="1"/>
    <xf numFmtId="170" fontId="1" fillId="2" borderId="0" xfId="2" applyNumberFormat="1" applyFont="1" applyFill="1"/>
    <xf numFmtId="0" fontId="8" fillId="2" borderId="0" xfId="0" applyFont="1" applyFill="1" applyAlignment="1">
      <alignment horizontal="left"/>
    </xf>
    <xf numFmtId="169" fontId="10" fillId="2" borderId="0" xfId="0" applyNumberFormat="1" applyFont="1" applyFill="1"/>
    <xf numFmtId="169" fontId="1" fillId="2" borderId="3" xfId="0" applyNumberFormat="1" applyFont="1" applyFill="1" applyBorder="1"/>
    <xf numFmtId="167" fontId="3" fillId="2" borderId="19" xfId="0" applyNumberFormat="1" applyFont="1" applyFill="1" applyBorder="1"/>
    <xf numFmtId="169" fontId="3" fillId="2" borderId="19" xfId="0" applyNumberFormat="1" applyFont="1" applyFill="1" applyBorder="1"/>
    <xf numFmtId="169" fontId="5" fillId="2" borderId="0" xfId="0" applyNumberFormat="1" applyFont="1" applyFill="1"/>
    <xf numFmtId="169" fontId="1" fillId="2" borderId="0" xfId="0" applyNumberFormat="1" applyFont="1" applyFill="1" applyAlignment="1">
      <alignment horizontal="right"/>
    </xf>
    <xf numFmtId="170" fontId="7" fillId="2" borderId="0" xfId="2" applyNumberFormat="1" applyFont="1" applyFill="1"/>
    <xf numFmtId="171" fontId="1" fillId="2" borderId="0" xfId="3" applyNumberFormat="1" applyFont="1" applyFill="1"/>
    <xf numFmtId="0" fontId="61" fillId="3" borderId="0" xfId="0" applyFont="1" applyFill="1" applyAlignment="1">
      <alignment horizontal="left"/>
    </xf>
    <xf numFmtId="0" fontId="9" fillId="3" borderId="0" xfId="0" applyFont="1" applyFill="1"/>
    <xf numFmtId="0" fontId="10" fillId="2" borderId="0" xfId="165" applyFont="1" applyFill="1"/>
    <xf numFmtId="181" fontId="1" fillId="2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167" fontId="5" fillId="2" borderId="19" xfId="0" applyNumberFormat="1" applyFont="1" applyFill="1" applyBorder="1"/>
    <xf numFmtId="169" fontId="5" fillId="2" borderId="19" xfId="0" applyNumberFormat="1" applyFont="1" applyFill="1" applyBorder="1"/>
    <xf numFmtId="167" fontId="5" fillId="2" borderId="20" xfId="0" applyNumberFormat="1" applyFont="1" applyFill="1" applyBorder="1"/>
    <xf numFmtId="169" fontId="5" fillId="2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3" borderId="0" xfId="0" applyNumberFormat="1" applyFont="1" applyFill="1"/>
    <xf numFmtId="167" fontId="1" fillId="46" borderId="0" xfId="0" applyNumberFormat="1" applyFont="1" applyFill="1"/>
    <xf numFmtId="170" fontId="7" fillId="2" borderId="0" xfId="0" applyNumberFormat="1" applyFont="1" applyFill="1"/>
    <xf numFmtId="170" fontId="10" fillId="2" borderId="0" xfId="2" applyNumberFormat="1" applyFont="1" applyFill="1"/>
    <xf numFmtId="171" fontId="1" fillId="2" borderId="0" xfId="0" applyNumberFormat="1" applyFont="1" applyFill="1"/>
    <xf numFmtId="169" fontId="1" fillId="2" borderId="0" xfId="0" applyNumberFormat="1" applyFont="1" applyFill="1" applyBorder="1"/>
    <xf numFmtId="169" fontId="5" fillId="2" borderId="0" xfId="0" applyNumberFormat="1" applyFont="1" applyFill="1" applyBorder="1"/>
    <xf numFmtId="167" fontId="1" fillId="2" borderId="0" xfId="0" applyNumberFormat="1" applyFont="1" applyFill="1" applyBorder="1"/>
    <xf numFmtId="169" fontId="10" fillId="2" borderId="0" xfId="0" applyNumberFormat="1" applyFont="1" applyFill="1" applyBorder="1"/>
    <xf numFmtId="171" fontId="1" fillId="2" borderId="0" xfId="3" applyNumberFormat="1" applyFont="1" applyFill="1" applyBorder="1"/>
    <xf numFmtId="9" fontId="1" fillId="2" borderId="0" xfId="2" applyFont="1" applyFill="1" applyBorder="1"/>
    <xf numFmtId="168" fontId="5" fillId="2" borderId="0" xfId="0" applyNumberFormat="1" applyFont="1" applyFill="1"/>
    <xf numFmtId="167" fontId="9" fillId="2" borderId="0" xfId="0" applyNumberFormat="1" applyFont="1" applyFill="1"/>
    <xf numFmtId="168" fontId="42" fillId="2" borderId="0" xfId="0" applyNumberFormat="1" applyFont="1" applyFill="1"/>
    <xf numFmtId="168" fontId="65" fillId="2" borderId="0" xfId="0" applyNumberFormat="1" applyFont="1" applyFill="1"/>
    <xf numFmtId="167" fontId="67" fillId="2" borderId="0" xfId="0" applyNumberFormat="1" applyFont="1" applyFill="1"/>
    <xf numFmtId="168" fontId="8" fillId="2" borderId="0" xfId="0" applyNumberFormat="1" applyFont="1" applyFill="1"/>
    <xf numFmtId="169" fontId="65" fillId="2" borderId="0" xfId="0" applyNumberFormat="1" applyFont="1" applyFill="1"/>
    <xf numFmtId="169" fontId="12" fillId="2" borderId="0" xfId="0" applyNumberFormat="1" applyFont="1" applyFill="1"/>
    <xf numFmtId="170" fontId="9" fillId="3" borderId="0" xfId="2" applyNumberFormat="1" applyFont="1" applyFill="1"/>
    <xf numFmtId="167" fontId="1" fillId="2" borderId="19" xfId="0" applyNumberFormat="1" applyFont="1" applyFill="1" applyBorder="1"/>
    <xf numFmtId="167" fontId="66" fillId="3" borderId="0" xfId="0" applyNumberFormat="1" applyFont="1" applyFill="1" applyAlignment="1">
      <alignment horizontal="center"/>
    </xf>
    <xf numFmtId="185" fontId="1" fillId="2" borderId="0" xfId="0" applyNumberFormat="1" applyFont="1" applyFill="1"/>
    <xf numFmtId="185" fontId="3" fillId="2" borderId="19" xfId="0" applyNumberFormat="1" applyFont="1" applyFill="1" applyBorder="1"/>
    <xf numFmtId="167" fontId="9" fillId="3" borderId="0" xfId="0" applyNumberFormat="1" applyFont="1" applyFill="1" applyAlignment="1">
      <alignment horizontal="center"/>
    </xf>
    <xf numFmtId="169" fontId="68" fillId="2" borderId="0" xfId="0" applyNumberFormat="1" applyFont="1" applyFill="1" applyBorder="1"/>
    <xf numFmtId="9" fontId="3" fillId="2" borderId="2" xfId="2" applyFont="1" applyFill="1" applyBorder="1"/>
    <xf numFmtId="9" fontId="3" fillId="2" borderId="21" xfId="2" applyFont="1" applyFill="1" applyBorder="1"/>
    <xf numFmtId="0" fontId="5" fillId="2" borderId="4" xfId="0" applyFont="1" applyFill="1" applyBorder="1"/>
    <xf numFmtId="0" fontId="1" fillId="2" borderId="4" xfId="0" applyFont="1" applyFill="1" applyBorder="1"/>
    <xf numFmtId="170" fontId="1" fillId="2" borderId="0" xfId="0" applyNumberFormat="1" applyFont="1" applyFill="1"/>
    <xf numFmtId="0" fontId="1" fillId="2" borderId="0" xfId="0" applyFont="1" applyFill="1" applyBorder="1"/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"-"?_);@_)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216700.64</c:v>
                </c:pt>
                <c:pt idx="5">
                  <c:v>225368.66560000004</c:v>
                </c:pt>
                <c:pt idx="6">
                  <c:v>234383.41222400006</c:v>
                </c:pt>
                <c:pt idx="7">
                  <c:v>243758.74871296008</c:v>
                </c:pt>
                <c:pt idx="8">
                  <c:v>253509.09866147849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E-4E16-B6B8-7DF6D8FBE33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-32"/>
        <c:axId val="1836462095"/>
        <c:axId val="1836462575"/>
      </c:barChart>
      <c:lineChart>
        <c:grouping val="standard"/>
        <c:varyColors val="0"/>
        <c:ser>
          <c:idx val="2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0.10192889877944059</c:v>
                </c:pt>
                <c:pt idx="5">
                  <c:v>0.10147009498023128</c:v>
                </c:pt>
                <c:pt idx="6">
                  <c:v>0.10102893748099169</c:v>
                </c:pt>
                <c:pt idx="7">
                  <c:v>0.10060474757787663</c:v>
                </c:pt>
                <c:pt idx="8">
                  <c:v>0.10019687267103522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D8E-4E16-B6B8-7DF6D8FBE3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6708639"/>
        <c:axId val="96708159"/>
      </c:lineChart>
      <c:catAx>
        <c:axId val="183646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462575"/>
        <c:crosses val="autoZero"/>
        <c:auto val="1"/>
        <c:lblAlgn val="ctr"/>
        <c:lblOffset val="100"/>
        <c:noMultiLvlLbl val="0"/>
      </c:catAx>
      <c:valAx>
        <c:axId val="1836462575"/>
        <c:scaling>
          <c:orientation val="minMax"/>
          <c:max val="5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462095"/>
        <c:crosses val="autoZero"/>
        <c:crossBetween val="between"/>
        <c:majorUnit val="100000"/>
      </c:valAx>
      <c:valAx>
        <c:axId val="96708159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08639"/>
        <c:crosses val="max"/>
        <c:crossBetween val="between"/>
        <c:majorUnit val="5.000000000000001E-2"/>
      </c:valAx>
      <c:catAx>
        <c:axId val="967086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70815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11550.056073053489</c:v>
                </c:pt>
                <c:pt idx="1">
                  <c:v>7785.5380519379978</c:v>
                </c:pt>
                <c:pt idx="2">
                  <c:v>8016.3075740155473</c:v>
                </c:pt>
                <c:pt idx="3">
                  <c:v>8256.307876976136</c:v>
                </c:pt>
                <c:pt idx="4">
                  <c:v>8505.9081920552126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EE5-9678-5FE93420D542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10500.050975503171</c:v>
                </c:pt>
                <c:pt idx="1">
                  <c:v>6434.3289685437994</c:v>
                </c:pt>
                <c:pt idx="2">
                  <c:v>6022.7705289372989</c:v>
                </c:pt>
                <c:pt idx="3">
                  <c:v>5639.1693716113205</c:v>
                </c:pt>
                <c:pt idx="4">
                  <c:v>5281.4997684306272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AC-4EE5-9678-5FE93420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09023919"/>
        <c:axId val="809014799"/>
      </c:areaChart>
      <c:catAx>
        <c:axId val="80902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14799"/>
        <c:crosses val="autoZero"/>
        <c:auto val="1"/>
        <c:lblAlgn val="ctr"/>
        <c:lblOffset val="100"/>
        <c:noMultiLvlLbl val="0"/>
      </c:catAx>
      <c:valAx>
        <c:axId val="809014799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_(* #,##0_);_(* \(#,##0\);_(* &quot;-&quot;?_);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23919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Enterprise Value: Scenario 1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11F-484C-AF0C-DA7EEF7460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11F-484C-AF0C-DA7EEF74605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51BC760-3FAE-4733-9E35-26288A03EF12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B11F-484C-AF0C-DA7EEF7460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0AC4C5-449F-4D57-A35C-60DBD439C7ED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B11F-484C-AF0C-DA7EEF746052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0.0%</c:formatCode>
                <c:ptCount val="2"/>
                <c:pt idx="0">
                  <c:v>0.3</c:v>
                </c:pt>
                <c:pt idx="1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1F-484C-AF0C-DA7EEF74605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Enterprise Value: Scenario 2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240096163606052E-2"/>
          <c:y val="0.21452880768754898"/>
          <c:w val="0.48122237347241553"/>
          <c:h val="0.57094205468717785"/>
        </c:manualLayout>
      </c:layout>
      <c:doughnut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77-46B4-9FD5-DB6FB4D561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E377-46B4-9FD5-DB6FB4D561A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424DAF3-0624-49E5-B7CE-03BB6B05CAD0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377-46B4-9FD5-DB6FB4D56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EF3B81-B967-4E71-B2C1-1EF1496D9914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377-46B4-9FD5-DB6FB4D561A8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0.0%</c:formatCode>
                <c:ptCount val="2"/>
                <c:pt idx="0">
                  <c:v>0.32</c:v>
                </c:pt>
                <c:pt idx="1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77-46B4-9FD5-DB6FB4D561A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Enterprise Value: Scenario 3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366-48A3-A4C8-BC52E3D4B2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366-48A3-A4C8-BC52E3D4B2B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0C429D2-E19B-4674-A0A2-5C04D6529CD0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B366-48A3-A4C8-BC52E3D4B2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0074FA-7180-4CD8-A380-66039789DF62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B366-48A3-A4C8-BC52E3D4B2B2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results'!$N$6:$N$7</c:f>
              <c:numCache>
                <c:formatCode>0.0%</c:formatCode>
                <c:ptCount val="2"/>
                <c:pt idx="0">
                  <c:v>0.33</c:v>
                </c:pt>
                <c:pt idx="1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66-48A3-A4C8-BC52E3D4B2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7</xdr:row>
      <xdr:rowOff>7620</xdr:rowOff>
    </xdr:from>
    <xdr:to>
      <xdr:col>13</xdr:col>
      <xdr:colOff>464820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5BA4E-CBB4-62A8-FCEC-04FBD6DA7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9</xdr:row>
      <xdr:rowOff>0</xdr:rowOff>
    </xdr:from>
    <xdr:to>
      <xdr:col>11</xdr:col>
      <xdr:colOff>396240</xdr:colOff>
      <xdr:row>27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1EBEFD-CD21-53AC-6868-DC4A132AE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10530</xdr:colOff>
      <xdr:row>9</xdr:row>
      <xdr:rowOff>1</xdr:rowOff>
    </xdr:from>
    <xdr:to>
      <xdr:col>5</xdr:col>
      <xdr:colOff>393842</xdr:colOff>
      <xdr:row>30</xdr:row>
      <xdr:rowOff>136989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33B1B5-5FF1-CCB1-3D80-84BCE6392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9</xdr:row>
      <xdr:rowOff>0</xdr:rowOff>
    </xdr:from>
    <xdr:to>
      <xdr:col>10</xdr:col>
      <xdr:colOff>410966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88E4A-F1BA-94A2-F814-9CD645FEA1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9</xdr:row>
      <xdr:rowOff>8562</xdr:rowOff>
    </xdr:from>
    <xdr:to>
      <xdr:col>15</xdr:col>
      <xdr:colOff>607887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C7134A-53A9-09A6-850A-FF69851CC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19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29" sqref="J29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4" t="s">
        <v>5</v>
      </c>
    </row>
    <row r="4" spans="2:3" ht="12.6" thickBot="1">
      <c r="B4" s="3" t="s">
        <v>2</v>
      </c>
      <c r="C4" s="3" t="s">
        <v>3</v>
      </c>
    </row>
    <row r="5" spans="2:3" ht="12">
      <c r="B5" s="32">
        <v>1</v>
      </c>
      <c r="C5" s="33" t="s">
        <v>56</v>
      </c>
    </row>
    <row r="6" spans="2:3">
      <c r="B6" s="23">
        <f>B5+1</f>
        <v>2</v>
      </c>
      <c r="C6" s="34" t="s">
        <v>23</v>
      </c>
    </row>
    <row r="7" spans="2:3">
      <c r="B7" s="23">
        <f t="shared" ref="B7:B19" si="0">B6+1</f>
        <v>3</v>
      </c>
      <c r="C7" s="34" t="s">
        <v>24</v>
      </c>
    </row>
    <row r="8" spans="2:3" ht="12">
      <c r="B8" s="32">
        <f t="shared" si="0"/>
        <v>4</v>
      </c>
      <c r="C8" s="33" t="s">
        <v>57</v>
      </c>
    </row>
    <row r="9" spans="2:3">
      <c r="B9" s="23">
        <f t="shared" si="0"/>
        <v>5</v>
      </c>
      <c r="C9" s="34" t="s">
        <v>6</v>
      </c>
    </row>
    <row r="10" spans="2:3">
      <c r="B10" s="23">
        <f t="shared" si="0"/>
        <v>6</v>
      </c>
      <c r="C10" s="34" t="s">
        <v>22</v>
      </c>
    </row>
    <row r="11" spans="2:3">
      <c r="B11" s="23">
        <f t="shared" si="0"/>
        <v>7</v>
      </c>
      <c r="C11" s="34" t="s">
        <v>25</v>
      </c>
    </row>
    <row r="12" spans="2:3">
      <c r="B12" s="23">
        <f t="shared" si="0"/>
        <v>8</v>
      </c>
      <c r="C12" s="34" t="s">
        <v>51</v>
      </c>
    </row>
    <row r="13" spans="2:3" ht="12">
      <c r="B13" s="32">
        <f t="shared" si="0"/>
        <v>9</v>
      </c>
      <c r="C13" s="33" t="s">
        <v>61</v>
      </c>
    </row>
    <row r="14" spans="2:3">
      <c r="B14" s="23">
        <f t="shared" si="0"/>
        <v>10</v>
      </c>
      <c r="C14" s="34" t="s">
        <v>58</v>
      </c>
    </row>
    <row r="15" spans="2:3">
      <c r="B15" s="23">
        <f t="shared" si="0"/>
        <v>11</v>
      </c>
      <c r="C15" s="34" t="s">
        <v>55</v>
      </c>
    </row>
    <row r="16" spans="2:3">
      <c r="B16" s="23">
        <v>12</v>
      </c>
      <c r="C16" s="34" t="s">
        <v>59</v>
      </c>
    </row>
    <row r="17" spans="2:3" ht="12">
      <c r="B17" s="32">
        <f t="shared" si="0"/>
        <v>13</v>
      </c>
      <c r="C17" s="33" t="s">
        <v>60</v>
      </c>
    </row>
    <row r="18" spans="2:3">
      <c r="B18" s="23">
        <f t="shared" si="0"/>
        <v>14</v>
      </c>
      <c r="C18" s="34" t="s">
        <v>1</v>
      </c>
    </row>
    <row r="19" spans="2:3">
      <c r="B19" s="23">
        <f t="shared" si="0"/>
        <v>15</v>
      </c>
      <c r="C19" s="34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DCF results'!A1" display="DCF results" xr:uid="{00000000-0004-0000-0000-00000A000000}"/>
    <hyperlink ref="C18" location="'P&amp;L source'!A1" display="P&amp;L source" xr:uid="{00000000-0004-0000-0000-00000B000000}"/>
    <hyperlink ref="C19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42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05" zoomScaleNormal="85" workbookViewId="0">
      <pane ySplit="8" topLeftCell="A9" activePane="bottomLeft" state="frozen"/>
      <selection pane="bottomLeft" activeCell="C5" sqref="C5"/>
    </sheetView>
  </sheetViews>
  <sheetFormatPr defaultColWidth="9.109375" defaultRowHeight="11.4"/>
  <cols>
    <col min="1" max="1" width="2" style="6" customWidth="1"/>
    <col min="2" max="2" width="21.88671875" style="6" bestFit="1" customWidth="1"/>
    <col min="3" max="5" width="11.109375" style="6" bestFit="1" customWidth="1"/>
    <col min="6" max="6" width="2" style="6" customWidth="1"/>
    <col min="7" max="7" width="11" style="6" bestFit="1" customWidth="1"/>
    <col min="8" max="8" width="13.5546875" style="6" bestFit="1" customWidth="1"/>
    <col min="9" max="11" width="10.5546875" style="6" bestFit="1" customWidth="1"/>
    <col min="12" max="12" width="9.109375" style="6"/>
    <col min="13" max="13" width="22.109375" style="6" bestFit="1" customWidth="1"/>
    <col min="14" max="16384" width="9.109375" style="6"/>
  </cols>
  <sheetData>
    <row r="1" spans="2:14" ht="15.6">
      <c r="B1" s="5" t="s">
        <v>23</v>
      </c>
    </row>
    <row r="2" spans="2:14">
      <c r="G2" s="6" t="s">
        <v>94</v>
      </c>
    </row>
    <row r="3" spans="2:14" ht="12">
      <c r="G3" s="6" t="s">
        <v>95</v>
      </c>
      <c r="H3" s="6" t="s">
        <v>98</v>
      </c>
      <c r="I3" s="20" t="s">
        <v>101</v>
      </c>
    </row>
    <row r="4" spans="2:14" ht="12">
      <c r="G4" s="6" t="s">
        <v>96</v>
      </c>
      <c r="H4" s="6" t="s">
        <v>99</v>
      </c>
      <c r="I4" s="20" t="s">
        <v>102</v>
      </c>
    </row>
    <row r="5" spans="2:14" ht="12">
      <c r="B5" s="6" t="s">
        <v>93</v>
      </c>
      <c r="C5" s="44">
        <v>3</v>
      </c>
      <c r="G5" s="6" t="s">
        <v>97</v>
      </c>
      <c r="H5" s="6" t="s">
        <v>100</v>
      </c>
      <c r="I5" s="20" t="s">
        <v>103</v>
      </c>
    </row>
    <row r="8" spans="2:14" ht="24.6" thickBot="1">
      <c r="B8" s="16" t="s">
        <v>47</v>
      </c>
      <c r="C8" s="17" t="s">
        <v>79</v>
      </c>
      <c r="D8" s="17" t="s">
        <v>80</v>
      </c>
      <c r="E8" s="17" t="s">
        <v>81</v>
      </c>
      <c r="F8" s="18"/>
      <c r="G8" s="17" t="s">
        <v>82</v>
      </c>
      <c r="H8" s="17" t="s">
        <v>83</v>
      </c>
      <c r="I8" s="17" t="s">
        <v>84</v>
      </c>
      <c r="J8" s="17" t="s">
        <v>85</v>
      </c>
      <c r="K8" s="17" t="s">
        <v>86</v>
      </c>
    </row>
    <row r="9" spans="2:14" ht="12">
      <c r="B9" s="6" t="s">
        <v>65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12">
        <f>E9*(1+G10)</f>
        <v>216700.64</v>
      </c>
      <c r="H9" s="12">
        <f>G9*(1+H10)</f>
        <v>225368.66560000004</v>
      </c>
      <c r="I9" s="12">
        <f t="shared" ref="I9:K9" si="0">H9*(1+I10)</f>
        <v>234383.41222400006</v>
      </c>
      <c r="J9" s="12">
        <f t="shared" si="0"/>
        <v>243758.74871296008</v>
      </c>
      <c r="K9" s="12">
        <f t="shared" si="0"/>
        <v>253509.09866147849</v>
      </c>
      <c r="N9" s="18"/>
    </row>
    <row r="10" spans="2:14">
      <c r="B10" s="6" t="s">
        <v>104</v>
      </c>
      <c r="C10" s="29"/>
      <c r="D10" s="22">
        <f>D9/C9-1</f>
        <v>6.4417645299458703E-2</v>
      </c>
      <c r="E10" s="22">
        <f>E9/D9-1</f>
        <v>0.10469838509580209</v>
      </c>
      <c r="G10" s="22">
        <f>CHOOSE($C$5,G11,G12,G13)</f>
        <v>0.04</v>
      </c>
      <c r="H10" s="22">
        <f t="shared" ref="H10:K10" si="1">CHOOSE($C$5,H11,H12,H13)</f>
        <v>0.04</v>
      </c>
      <c r="I10" s="22">
        <f t="shared" si="1"/>
        <v>0.04</v>
      </c>
      <c r="J10" s="22">
        <f t="shared" si="1"/>
        <v>0.04</v>
      </c>
      <c r="K10" s="22">
        <f t="shared" si="1"/>
        <v>0.04</v>
      </c>
    </row>
    <row r="11" spans="2:14">
      <c r="B11" s="6" t="s">
        <v>95</v>
      </c>
      <c r="C11" s="45"/>
      <c r="D11" s="45"/>
      <c r="E11" s="45"/>
      <c r="G11" s="47">
        <v>0.1</v>
      </c>
      <c r="H11" s="47">
        <v>0.1</v>
      </c>
      <c r="I11" s="47">
        <v>0.1</v>
      </c>
      <c r="J11" s="47">
        <v>0.1</v>
      </c>
      <c r="K11" s="47">
        <v>0.1</v>
      </c>
    </row>
    <row r="12" spans="2:14">
      <c r="B12" s="6" t="s">
        <v>96</v>
      </c>
      <c r="C12" s="45"/>
      <c r="D12" s="45"/>
      <c r="E12" s="45"/>
      <c r="G12" s="47">
        <v>0.08</v>
      </c>
      <c r="H12" s="47">
        <v>0.08</v>
      </c>
      <c r="I12" s="47">
        <v>0.08</v>
      </c>
      <c r="J12" s="47">
        <v>0.08</v>
      </c>
      <c r="K12" s="47">
        <v>0.08</v>
      </c>
    </row>
    <row r="13" spans="2:14">
      <c r="B13" s="6" t="s">
        <v>97</v>
      </c>
      <c r="C13" s="45"/>
      <c r="D13" s="45"/>
      <c r="E13" s="45"/>
      <c r="G13" s="47">
        <v>0.04</v>
      </c>
      <c r="H13" s="47">
        <v>0.04</v>
      </c>
      <c r="I13" s="47">
        <v>0.04</v>
      </c>
      <c r="J13" s="47">
        <v>0.04</v>
      </c>
      <c r="K13" s="47">
        <v>0.04</v>
      </c>
    </row>
    <row r="14" spans="2:14" ht="7.8" customHeight="1">
      <c r="G14" s="12"/>
      <c r="H14" s="12"/>
      <c r="I14" s="12"/>
      <c r="J14" s="12"/>
      <c r="K14" s="12"/>
    </row>
    <row r="15" spans="2:14">
      <c r="B15" s="6" t="s">
        <v>105</v>
      </c>
      <c r="C15" s="12">
        <f>'P&amp;L source'!D5</f>
        <v>3520</v>
      </c>
      <c r="D15" s="12">
        <f>'P&amp;L source'!E5</f>
        <v>2416</v>
      </c>
      <c r="E15" s="12">
        <f>'P&amp;L source'!F5</f>
        <v>2585</v>
      </c>
      <c r="G15" s="12">
        <f>E15*(1+G16)</f>
        <v>2585</v>
      </c>
      <c r="H15" s="12">
        <f>G15*(1+H16)</f>
        <v>2585</v>
      </c>
      <c r="I15" s="12">
        <f t="shared" ref="I15" si="2">H15*(1+I16)</f>
        <v>2585</v>
      </c>
      <c r="J15" s="12">
        <f t="shared" ref="J15" si="3">I15*(1+J16)</f>
        <v>2585</v>
      </c>
      <c r="K15" s="12">
        <f t="shared" ref="K15" si="4">J15*(1+K16)</f>
        <v>2585</v>
      </c>
    </row>
    <row r="16" spans="2:14">
      <c r="B16" s="6" t="s">
        <v>104</v>
      </c>
      <c r="G16" s="22">
        <f>CHOOSE($C$5,G17,G18,G19)</f>
        <v>0</v>
      </c>
      <c r="H16" s="22">
        <f t="shared" ref="H16" si="5">CHOOSE($C$5,H17,H18,H19)</f>
        <v>0</v>
      </c>
      <c r="I16" s="22">
        <f t="shared" ref="I16" si="6">CHOOSE($C$5,I17,I18,I19)</f>
        <v>0</v>
      </c>
      <c r="J16" s="22">
        <f t="shared" ref="J16" si="7">CHOOSE($C$5,J17,J18,J19)</f>
        <v>0</v>
      </c>
      <c r="K16" s="22">
        <f t="shared" ref="K16" si="8">CHOOSE($C$5,K17,K18,K19)</f>
        <v>0</v>
      </c>
    </row>
    <row r="17" spans="2:11">
      <c r="B17" s="6" t="s">
        <v>95</v>
      </c>
      <c r="C17" s="45"/>
      <c r="D17" s="45"/>
      <c r="E17" s="45"/>
      <c r="G17" s="47">
        <v>0</v>
      </c>
      <c r="H17" s="47">
        <v>0</v>
      </c>
      <c r="I17" s="47">
        <v>0</v>
      </c>
      <c r="J17" s="47">
        <v>0</v>
      </c>
      <c r="K17" s="47">
        <v>0</v>
      </c>
    </row>
    <row r="18" spans="2:11">
      <c r="B18" s="6" t="s">
        <v>96</v>
      </c>
      <c r="C18" s="45"/>
      <c r="D18" s="45"/>
      <c r="E18" s="45"/>
      <c r="G18" s="47">
        <v>0</v>
      </c>
      <c r="H18" s="47">
        <v>0</v>
      </c>
      <c r="I18" s="47">
        <v>0</v>
      </c>
      <c r="J18" s="47">
        <v>0</v>
      </c>
      <c r="K18" s="47">
        <v>0</v>
      </c>
    </row>
    <row r="19" spans="2:11">
      <c r="B19" s="6" t="s">
        <v>97</v>
      </c>
      <c r="C19" s="45"/>
      <c r="D19" s="45"/>
      <c r="E19" s="45"/>
      <c r="G19" s="47">
        <v>0</v>
      </c>
      <c r="H19" s="47">
        <v>0</v>
      </c>
      <c r="I19" s="47">
        <v>0</v>
      </c>
      <c r="J19" s="47">
        <v>0</v>
      </c>
      <c r="K19" s="47">
        <v>0</v>
      </c>
    </row>
    <row r="20" spans="2:11" ht="7.8" customHeight="1">
      <c r="G20" s="12"/>
      <c r="H20" s="12"/>
      <c r="I20" s="12"/>
      <c r="J20" s="12"/>
      <c r="K20" s="12"/>
    </row>
    <row r="21" spans="2:11">
      <c r="B21" s="6" t="s">
        <v>67</v>
      </c>
      <c r="C21" s="12">
        <f>SUM('P&amp;L source'!D8:D9)</f>
        <v>-142394.36746666671</v>
      </c>
      <c r="D21" s="12">
        <f>SUM('P&amp;L source'!E8:E9)</f>
        <v>-150572.16639999999</v>
      </c>
      <c r="E21" s="12">
        <f>SUM('P&amp;L source'!F8:F9)</f>
        <v>-157523.118425397</v>
      </c>
      <c r="G21" s="12">
        <f>G22*G$9</f>
        <v>-173360.51200000002</v>
      </c>
      <c r="H21" s="12">
        <f t="shared" ref="H21:K21" si="9">H22*H$9</f>
        <v>-180294.93248000005</v>
      </c>
      <c r="I21" s="12">
        <f t="shared" si="9"/>
        <v>-187506.72977920005</v>
      </c>
      <c r="J21" s="12">
        <f t="shared" si="9"/>
        <v>-195006.99897036806</v>
      </c>
      <c r="K21" s="12">
        <f t="shared" si="9"/>
        <v>-202807.27892918279</v>
      </c>
    </row>
    <row r="22" spans="2:11">
      <c r="B22" s="6" t="s">
        <v>106</v>
      </c>
      <c r="C22" s="22">
        <f>C21/C$9</f>
        <v>-0.8035663474470901</v>
      </c>
      <c r="D22" s="22">
        <f t="shared" ref="D22:E22" si="10">D21/D$9</f>
        <v>-0.79829160737575411</v>
      </c>
      <c r="E22" s="22">
        <f t="shared" si="10"/>
        <v>-0.75599242882906514</v>
      </c>
      <c r="G22" s="22">
        <f>CHOOSE($C$5,G23,G24,G25)</f>
        <v>-0.8</v>
      </c>
      <c r="H22" s="22">
        <f t="shared" ref="H22" si="11">CHOOSE($C$5,H23,H24,H25)</f>
        <v>-0.8</v>
      </c>
      <c r="I22" s="22">
        <f t="shared" ref="I22" si="12">CHOOSE($C$5,I23,I24,I25)</f>
        <v>-0.8</v>
      </c>
      <c r="J22" s="22">
        <f t="shared" ref="J22" si="13">CHOOSE($C$5,J23,J24,J25)</f>
        <v>-0.8</v>
      </c>
      <c r="K22" s="22">
        <f t="shared" ref="K22" si="14">CHOOSE($C$5,K23,K24,K25)</f>
        <v>-0.8</v>
      </c>
    </row>
    <row r="23" spans="2:11">
      <c r="B23" s="6" t="s">
        <v>95</v>
      </c>
      <c r="C23" s="45"/>
      <c r="D23" s="45"/>
      <c r="E23" s="45"/>
      <c r="G23" s="47">
        <v>-0.76</v>
      </c>
      <c r="H23" s="47">
        <v>-0.76</v>
      </c>
      <c r="I23" s="47">
        <v>-0.76</v>
      </c>
      <c r="J23" s="47">
        <v>-0.76</v>
      </c>
      <c r="K23" s="47">
        <v>-0.76</v>
      </c>
    </row>
    <row r="24" spans="2:11">
      <c r="B24" s="6" t="s">
        <v>96</v>
      </c>
      <c r="C24" s="45"/>
      <c r="D24" s="45"/>
      <c r="E24" s="45"/>
      <c r="G24" s="47">
        <v>-0.78</v>
      </c>
      <c r="H24" s="47">
        <v>-0.78</v>
      </c>
      <c r="I24" s="47">
        <v>-0.78</v>
      </c>
      <c r="J24" s="47">
        <v>-0.78</v>
      </c>
      <c r="K24" s="47">
        <v>-0.78</v>
      </c>
    </row>
    <row r="25" spans="2:11">
      <c r="B25" s="6" t="s">
        <v>97</v>
      </c>
      <c r="C25" s="45"/>
      <c r="D25" s="45"/>
      <c r="E25" s="45"/>
      <c r="G25" s="47">
        <v>-0.8</v>
      </c>
      <c r="H25" s="47">
        <v>-0.8</v>
      </c>
      <c r="I25" s="47">
        <v>-0.8</v>
      </c>
      <c r="J25" s="47">
        <v>-0.8</v>
      </c>
      <c r="K25" s="47">
        <v>-0.8</v>
      </c>
    </row>
    <row r="26" spans="2:11" ht="3.75" customHeight="1">
      <c r="G26" s="12"/>
      <c r="H26" s="12"/>
      <c r="I26" s="12"/>
      <c r="J26" s="12"/>
      <c r="K26" s="12"/>
    </row>
    <row r="27" spans="2:11">
      <c r="B27" s="6" t="s">
        <v>68</v>
      </c>
      <c r="C27" s="12">
        <f>SUM('P&amp;L source'!D10:D12)</f>
        <v>-18011.315200000005</v>
      </c>
      <c r="D27" s="12">
        <f>SUM('P&amp;L source'!E10:E12)</f>
        <v>-19247.897599999997</v>
      </c>
      <c r="E27" s="12">
        <f>SUM('P&amp;L source'!F10:F12)</f>
        <v>-23867.008000000009</v>
      </c>
      <c r="G27" s="12">
        <f t="shared" ref="G27:K27" si="15">G28*G$9</f>
        <v>-23837.070400000001</v>
      </c>
      <c r="H27" s="12">
        <f t="shared" si="15"/>
        <v>-24790.553216000004</v>
      </c>
      <c r="I27" s="12">
        <f t="shared" si="15"/>
        <v>-25782.175344640007</v>
      </c>
      <c r="J27" s="12">
        <f t="shared" si="15"/>
        <v>-26813.462358425608</v>
      </c>
      <c r="K27" s="12">
        <f t="shared" si="15"/>
        <v>-27886.000852762634</v>
      </c>
    </row>
    <row r="28" spans="2:11">
      <c r="B28" s="6" t="s">
        <v>106</v>
      </c>
      <c r="C28" s="22">
        <f t="shared" ref="C28:E28" si="16">C27/C$9</f>
        <v>-0.10164227016472635</v>
      </c>
      <c r="D28" s="22">
        <f t="shared" si="16"/>
        <v>-0.10204698173026963</v>
      </c>
      <c r="E28" s="22">
        <f t="shared" si="16"/>
        <v>-0.11454367795129727</v>
      </c>
      <c r="G28" s="22">
        <f>CHOOSE($C$5,G29,G30,G31)</f>
        <v>-0.11</v>
      </c>
      <c r="H28" s="22">
        <f t="shared" ref="H28" si="17">CHOOSE($C$5,H29,H30,H31)</f>
        <v>-0.11</v>
      </c>
      <c r="I28" s="22">
        <f t="shared" ref="I28" si="18">CHOOSE($C$5,I29,I30,I31)</f>
        <v>-0.11</v>
      </c>
      <c r="J28" s="22">
        <f t="shared" ref="J28" si="19">CHOOSE($C$5,J29,J30,J31)</f>
        <v>-0.11</v>
      </c>
      <c r="K28" s="22">
        <f t="shared" ref="K28" si="20">CHOOSE($C$5,K29,K30,K31)</f>
        <v>-0.11</v>
      </c>
    </row>
    <row r="29" spans="2:11">
      <c r="B29" s="6" t="s">
        <v>95</v>
      </c>
      <c r="C29" s="45"/>
      <c r="D29" s="45"/>
      <c r="E29" s="45"/>
      <c r="G29" s="47">
        <v>-0.1</v>
      </c>
      <c r="H29" s="47">
        <v>-0.1</v>
      </c>
      <c r="I29" s="47">
        <v>-0.1</v>
      </c>
      <c r="J29" s="47">
        <v>-0.1</v>
      </c>
      <c r="K29" s="47">
        <v>-0.1</v>
      </c>
    </row>
    <row r="30" spans="2:11">
      <c r="B30" s="6" t="s">
        <v>96</v>
      </c>
      <c r="C30" s="45"/>
      <c r="D30" s="45"/>
      <c r="E30" s="45"/>
      <c r="G30" s="47">
        <v>-0.105</v>
      </c>
      <c r="H30" s="47">
        <v>-0.105</v>
      </c>
      <c r="I30" s="47">
        <v>-0.105</v>
      </c>
      <c r="J30" s="47">
        <v>-0.105</v>
      </c>
      <c r="K30" s="47">
        <v>-0.105</v>
      </c>
    </row>
    <row r="31" spans="2:11" ht="12" customHeight="1">
      <c r="B31" s="6" t="s">
        <v>97</v>
      </c>
      <c r="C31" s="45"/>
      <c r="D31" s="45"/>
      <c r="E31" s="45"/>
      <c r="G31" s="47">
        <v>-0.11</v>
      </c>
      <c r="H31" s="47">
        <v>-0.11</v>
      </c>
      <c r="I31" s="47">
        <v>-0.11</v>
      </c>
      <c r="J31" s="47">
        <v>-0.11</v>
      </c>
      <c r="K31" s="47">
        <v>-0.11</v>
      </c>
    </row>
    <row r="32" spans="2:11" ht="3.75" customHeight="1">
      <c r="G32" s="12"/>
      <c r="H32" s="12"/>
      <c r="I32" s="12"/>
      <c r="J32" s="12"/>
      <c r="K32" s="12"/>
    </row>
    <row r="33" spans="2:11" ht="12" customHeight="1">
      <c r="B33" s="6" t="s">
        <v>15</v>
      </c>
      <c r="C33" s="12">
        <f>'P&amp;L source'!D16</f>
        <v>-2907.8000000000006</v>
      </c>
      <c r="D33" s="12">
        <f>'P&amp;L source'!E16</f>
        <v>-4649.8</v>
      </c>
      <c r="E33" s="12">
        <f>'P&amp;L source'!F16</f>
        <v>-6430.6600000000008</v>
      </c>
      <c r="G33" s="12">
        <f t="shared" ref="G33:K33" si="21">G34*G$9</f>
        <v>-6501.0191999999997</v>
      </c>
      <c r="H33" s="12">
        <f t="shared" si="21"/>
        <v>-6761.0599680000005</v>
      </c>
      <c r="I33" s="12">
        <f t="shared" si="21"/>
        <v>-7031.5023667200012</v>
      </c>
      <c r="J33" s="12">
        <f t="shared" si="21"/>
        <v>-7312.762461388802</v>
      </c>
      <c r="K33" s="12">
        <f t="shared" si="21"/>
        <v>-7605.2729598443548</v>
      </c>
    </row>
    <row r="34" spans="2:11" ht="12" customHeight="1">
      <c r="B34" s="6" t="s">
        <v>106</v>
      </c>
      <c r="C34" s="22">
        <f t="shared" ref="C34:E34" si="22">C33/C$9</f>
        <v>-1.6409428734276511E-2</v>
      </c>
      <c r="D34" s="22">
        <f t="shared" si="22"/>
        <v>-2.4651942020379815E-2</v>
      </c>
      <c r="E34" s="22">
        <f t="shared" si="22"/>
        <v>-3.0862328786846225E-2</v>
      </c>
      <c r="G34" s="22">
        <f>CHOOSE($C$5,G35,G36,G37)</f>
        <v>-0.03</v>
      </c>
      <c r="H34" s="22">
        <f t="shared" ref="H34" si="23">CHOOSE($C$5,H35,H36,H37)</f>
        <v>-0.03</v>
      </c>
      <c r="I34" s="22">
        <f t="shared" ref="I34" si="24">CHOOSE($C$5,I35,I36,I37)</f>
        <v>-0.03</v>
      </c>
      <c r="J34" s="22">
        <f t="shared" ref="J34" si="25">CHOOSE($C$5,J35,J36,J37)</f>
        <v>-0.03</v>
      </c>
      <c r="K34" s="22">
        <f t="shared" ref="K34" si="26">CHOOSE($C$5,K35,K36,K37)</f>
        <v>-0.03</v>
      </c>
    </row>
    <row r="35" spans="2:11">
      <c r="B35" s="6" t="s">
        <v>95</v>
      </c>
      <c r="C35" s="45"/>
      <c r="D35" s="45"/>
      <c r="E35" s="45"/>
      <c r="G35" s="47">
        <v>-0.02</v>
      </c>
      <c r="H35" s="47">
        <v>-0.02</v>
      </c>
      <c r="I35" s="47">
        <v>-0.02</v>
      </c>
      <c r="J35" s="47">
        <v>-0.02</v>
      </c>
      <c r="K35" s="47">
        <v>-0.02</v>
      </c>
    </row>
    <row r="36" spans="2:11">
      <c r="B36" s="6" t="s">
        <v>96</v>
      </c>
      <c r="C36" s="45"/>
      <c r="D36" s="45"/>
      <c r="E36" s="45"/>
      <c r="G36" s="47">
        <v>-2.5000000000000001E-2</v>
      </c>
      <c r="H36" s="47">
        <v>-2.5000000000000001E-2</v>
      </c>
      <c r="I36" s="47">
        <v>-2.5000000000000001E-2</v>
      </c>
      <c r="J36" s="47">
        <v>-2.5000000000000001E-2</v>
      </c>
      <c r="K36" s="47">
        <v>-2.5000000000000001E-2</v>
      </c>
    </row>
    <row r="37" spans="2:11">
      <c r="B37" s="6" t="s">
        <v>97</v>
      </c>
      <c r="C37" s="45"/>
      <c r="D37" s="45"/>
      <c r="E37" s="45"/>
      <c r="G37" s="47">
        <v>-0.03</v>
      </c>
      <c r="H37" s="47">
        <v>-0.03</v>
      </c>
      <c r="I37" s="47">
        <v>-0.03</v>
      </c>
      <c r="J37" s="47">
        <v>-0.03</v>
      </c>
      <c r="K37" s="47">
        <v>-0.03</v>
      </c>
    </row>
    <row r="39" spans="2:11">
      <c r="B39" s="6" t="s">
        <v>72</v>
      </c>
      <c r="C39" s="12">
        <f>'P&amp;L source'!D20</f>
        <v>-1266.3000000000002</v>
      </c>
      <c r="D39" s="12">
        <f>'P&amp;L source'!E20</f>
        <v>-2190.9</v>
      </c>
      <c r="E39" s="12">
        <f>'P&amp;L source'!F20</f>
        <v>-2663.92</v>
      </c>
      <c r="G39" s="12">
        <f>E39*(1+G40)</f>
        <v>-2663.92</v>
      </c>
      <c r="H39" s="12">
        <f>G39*(1+H40)</f>
        <v>-2663.92</v>
      </c>
      <c r="I39" s="12">
        <f t="shared" ref="I39" si="27">H39*(1+I40)</f>
        <v>-2663.92</v>
      </c>
      <c r="J39" s="12">
        <f t="shared" ref="J39" si="28">I39*(1+J40)</f>
        <v>-2663.92</v>
      </c>
      <c r="K39" s="12">
        <f t="shared" ref="K39" si="29">J39*(1+K40)</f>
        <v>-2663.92</v>
      </c>
    </row>
    <row r="40" spans="2:11">
      <c r="B40" s="6" t="s">
        <v>104</v>
      </c>
      <c r="G40" s="22">
        <f>CHOOSE($C$5,G41,G42,G43)</f>
        <v>0</v>
      </c>
      <c r="H40" s="22">
        <f t="shared" ref="H40" si="30">CHOOSE($C$5,H41,H42,H43)</f>
        <v>0</v>
      </c>
      <c r="I40" s="22">
        <f t="shared" ref="I40" si="31">CHOOSE($C$5,I41,I42,I43)</f>
        <v>0</v>
      </c>
      <c r="J40" s="22">
        <f t="shared" ref="J40" si="32">CHOOSE($C$5,J41,J42,J43)</f>
        <v>0</v>
      </c>
      <c r="K40" s="22">
        <f t="shared" ref="K40" si="33">CHOOSE($C$5,K41,K42,K43)</f>
        <v>0</v>
      </c>
    </row>
    <row r="41" spans="2:11">
      <c r="B41" s="6" t="s">
        <v>95</v>
      </c>
      <c r="C41" s="45"/>
      <c r="D41" s="45"/>
      <c r="E41" s="45"/>
      <c r="G41" s="47">
        <v>0</v>
      </c>
      <c r="H41" s="47">
        <v>0</v>
      </c>
      <c r="I41" s="47">
        <v>0</v>
      </c>
      <c r="J41" s="47">
        <v>0</v>
      </c>
      <c r="K41" s="47">
        <v>0</v>
      </c>
    </row>
    <row r="42" spans="2:11">
      <c r="B42" s="6" t="s">
        <v>96</v>
      </c>
      <c r="C42" s="45"/>
      <c r="D42" s="45"/>
      <c r="E42" s="45"/>
      <c r="G42" s="47">
        <v>0</v>
      </c>
      <c r="H42" s="47">
        <v>0</v>
      </c>
      <c r="I42" s="47">
        <v>0</v>
      </c>
      <c r="J42" s="47">
        <v>0</v>
      </c>
      <c r="K42" s="47">
        <v>0</v>
      </c>
    </row>
    <row r="43" spans="2:11">
      <c r="B43" s="6" t="s">
        <v>97</v>
      </c>
      <c r="C43" s="45"/>
      <c r="D43" s="45"/>
      <c r="E43" s="45"/>
      <c r="G43" s="47">
        <v>0</v>
      </c>
      <c r="H43" s="47">
        <v>0</v>
      </c>
      <c r="I43" s="47">
        <v>0</v>
      </c>
      <c r="J43" s="47">
        <v>0</v>
      </c>
      <c r="K43" s="47">
        <v>0</v>
      </c>
    </row>
    <row r="45" spans="2:11">
      <c r="B45" s="6" t="s">
        <v>73</v>
      </c>
      <c r="C45" s="12">
        <f>'P&amp;L source'!D21</f>
        <v>-317.58000000000004</v>
      </c>
      <c r="D45" s="12">
        <f>'P&amp;L source'!E21</f>
        <v>-864.30000000000007</v>
      </c>
      <c r="E45" s="12">
        <f>'P&amp;L source'!F21</f>
        <v>-320.26</v>
      </c>
      <c r="G45" s="12">
        <f t="shared" ref="G45" si="34">G46*G$9</f>
        <v>0</v>
      </c>
      <c r="H45" s="12">
        <f t="shared" ref="H45" si="35">H46*H$9</f>
        <v>0</v>
      </c>
      <c r="I45" s="12">
        <f t="shared" ref="I45" si="36">I46*I$9</f>
        <v>0</v>
      </c>
      <c r="J45" s="12">
        <f t="shared" ref="J45" si="37">J46*J$9</f>
        <v>0</v>
      </c>
      <c r="K45" s="12">
        <f t="shared" ref="K45" si="38">K46*K$9</f>
        <v>0</v>
      </c>
    </row>
    <row r="46" spans="2:11">
      <c r="B46" s="6" t="s">
        <v>106</v>
      </c>
      <c r="C46" s="22">
        <f t="shared" ref="C46" si="39">C45/C$9</f>
        <v>-1.7921818479371119E-3</v>
      </c>
      <c r="D46" s="22">
        <f t="shared" ref="D46" si="40">D45/D$9</f>
        <v>-4.5822774072463929E-3</v>
      </c>
      <c r="E46" s="22">
        <f t="shared" ref="E46" si="41">E45/E$9</f>
        <v>-1.5370069973028228E-3</v>
      </c>
      <c r="G46" s="22">
        <f>CHOOSE($C$5,G47,G48,G49)</f>
        <v>0</v>
      </c>
      <c r="H46" s="22">
        <f t="shared" ref="H46" si="42">CHOOSE($C$5,H47,H48,H49)</f>
        <v>0</v>
      </c>
      <c r="I46" s="22">
        <f t="shared" ref="I46" si="43">CHOOSE($C$5,I47,I48,I49)</f>
        <v>0</v>
      </c>
      <c r="J46" s="22">
        <f t="shared" ref="J46" si="44">CHOOSE($C$5,J47,J48,J49)</f>
        <v>0</v>
      </c>
      <c r="K46" s="22">
        <f t="shared" ref="K46" si="45">CHOOSE($C$5,K47,K48,K49)</f>
        <v>0</v>
      </c>
    </row>
    <row r="47" spans="2:11">
      <c r="B47" s="6" t="s">
        <v>95</v>
      </c>
      <c r="C47" s="45"/>
      <c r="D47" s="45"/>
      <c r="E47" s="45"/>
      <c r="G47" s="47">
        <v>0</v>
      </c>
      <c r="H47" s="47">
        <v>0</v>
      </c>
      <c r="I47" s="47">
        <v>0</v>
      </c>
      <c r="J47" s="47">
        <v>0</v>
      </c>
      <c r="K47" s="47">
        <v>0</v>
      </c>
    </row>
    <row r="48" spans="2:11">
      <c r="B48" s="6" t="s">
        <v>96</v>
      </c>
      <c r="C48" s="45"/>
      <c r="D48" s="45"/>
      <c r="E48" s="45"/>
      <c r="G48" s="47">
        <v>0</v>
      </c>
      <c r="H48" s="47">
        <v>0</v>
      </c>
      <c r="I48" s="47">
        <v>0</v>
      </c>
      <c r="J48" s="47">
        <v>0</v>
      </c>
      <c r="K48" s="47">
        <v>0</v>
      </c>
    </row>
    <row r="49" spans="2:11">
      <c r="B49" s="6" t="s">
        <v>97</v>
      </c>
      <c r="C49" s="45"/>
      <c r="D49" s="45"/>
      <c r="E49" s="45"/>
      <c r="G49" s="47">
        <v>0</v>
      </c>
      <c r="H49" s="47">
        <v>0</v>
      </c>
      <c r="I49" s="47">
        <v>0</v>
      </c>
      <c r="J49" s="47">
        <v>0</v>
      </c>
      <c r="K49" s="47">
        <v>0</v>
      </c>
    </row>
    <row r="51" spans="2:11">
      <c r="B51" s="6" t="s">
        <v>20</v>
      </c>
      <c r="C51" s="12">
        <f>'P&amp;L source'!D25</f>
        <v>-3805.7759999999998</v>
      </c>
      <c r="D51" s="12">
        <f>'P&amp;L source'!E25</f>
        <v>-3050.192</v>
      </c>
      <c r="E51" s="12">
        <f>'P&amp;L source'!F25</f>
        <v>-3814.88</v>
      </c>
      <c r="F51" s="6">
        <f>'P&amp;L source'!G25</f>
        <v>0</v>
      </c>
    </row>
    <row r="52" spans="2:11">
      <c r="B52" s="6" t="s">
        <v>107</v>
      </c>
      <c r="C52" s="22">
        <f>C51/'P&amp;L source'!D$23</f>
        <v>-0.2404816892893126</v>
      </c>
      <c r="D52" s="22">
        <f>D51/'P&amp;L source'!E$23</f>
        <v>-0.22579069143565386</v>
      </c>
      <c r="E52" s="22">
        <f>E51/'P&amp;L source'!F$23</f>
        <v>-0.18936134430001197</v>
      </c>
      <c r="G52" s="22">
        <f>CHOOSE($C$5,G53,G54,G55)</f>
        <v>-0.22</v>
      </c>
      <c r="H52" s="22">
        <f t="shared" ref="H52" si="46">CHOOSE($C$5,H53,H54,H55)</f>
        <v>-0.22</v>
      </c>
      <c r="I52" s="22">
        <f t="shared" ref="I52" si="47">CHOOSE($C$5,I53,I54,I55)</f>
        <v>-0.22</v>
      </c>
      <c r="J52" s="22">
        <f t="shared" ref="J52" si="48">CHOOSE($C$5,J53,J54,J55)</f>
        <v>-0.22</v>
      </c>
      <c r="K52" s="22">
        <f t="shared" ref="K52" si="49">CHOOSE($C$5,K53,K54,K55)</f>
        <v>-0.22</v>
      </c>
    </row>
    <row r="53" spans="2:11">
      <c r="B53" s="6" t="s">
        <v>95</v>
      </c>
      <c r="C53" s="45"/>
      <c r="D53" s="45"/>
      <c r="E53" s="45"/>
      <c r="G53" s="47">
        <v>-0.18</v>
      </c>
      <c r="H53" s="47">
        <v>-0.18</v>
      </c>
      <c r="I53" s="47">
        <v>-0.18</v>
      </c>
      <c r="J53" s="47">
        <v>-0.18</v>
      </c>
      <c r="K53" s="47">
        <v>-0.18</v>
      </c>
    </row>
    <row r="54" spans="2:11">
      <c r="B54" s="6" t="s">
        <v>96</v>
      </c>
      <c r="C54" s="45"/>
      <c r="D54" s="45"/>
      <c r="E54" s="45"/>
      <c r="G54" s="47">
        <v>-0.2</v>
      </c>
      <c r="H54" s="47">
        <v>-0.2</v>
      </c>
      <c r="I54" s="47">
        <v>-0.2</v>
      </c>
      <c r="J54" s="47">
        <v>-0.2</v>
      </c>
      <c r="K54" s="47">
        <v>-0.2</v>
      </c>
    </row>
    <row r="55" spans="2:11">
      <c r="B55" s="6" t="s">
        <v>97</v>
      </c>
      <c r="C55" s="45"/>
      <c r="D55" s="45"/>
      <c r="E55" s="45"/>
      <c r="G55" s="47">
        <v>-0.22</v>
      </c>
      <c r="H55" s="47">
        <v>-0.22</v>
      </c>
      <c r="I55" s="47">
        <v>-0.22</v>
      </c>
      <c r="J55" s="47">
        <v>-0.22</v>
      </c>
      <c r="K55" s="47">
        <v>-0.22</v>
      </c>
    </row>
  </sheetData>
  <pageMargins left="0.7" right="0.7" top="0.75" bottom="0.75" header="0.3" footer="0.3"/>
  <pageSetup orientation="portrait" r:id="rId1"/>
  <ignoredErrors>
    <ignoredError sqref="C21:E21 C27:E27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>
      <selection activeCell="B11" sqref="B11"/>
    </sheetView>
  </sheetViews>
  <sheetFormatPr defaultColWidth="9.109375" defaultRowHeight="11.4"/>
  <cols>
    <col min="1" max="1" width="2" style="6" customWidth="1"/>
    <col min="2" max="2" width="19.109375" style="6" customWidth="1"/>
    <col min="3" max="3" width="12.33203125" style="6" bestFit="1" customWidth="1"/>
    <col min="4" max="4" width="9.109375" style="6"/>
    <col min="5" max="5" width="10" style="6" bestFit="1" customWidth="1"/>
    <col min="6" max="6" width="2" style="6" customWidth="1"/>
    <col min="7" max="7" width="11" style="6" bestFit="1" customWidth="1"/>
    <col min="8" max="16384" width="9.109375" style="6"/>
  </cols>
  <sheetData>
    <row r="1" spans="2:11" ht="15.6">
      <c r="B1" s="5" t="s">
        <v>24</v>
      </c>
    </row>
    <row r="3" spans="2:11" ht="3.75" customHeight="1"/>
    <row r="4" spans="2:11" ht="24.6" thickBot="1">
      <c r="B4" s="16" t="s">
        <v>47</v>
      </c>
      <c r="C4" s="17" t="s">
        <v>79</v>
      </c>
      <c r="D4" s="17" t="s">
        <v>80</v>
      </c>
      <c r="E4" s="17" t="s">
        <v>81</v>
      </c>
      <c r="F4" s="18"/>
      <c r="G4" s="17" t="s">
        <v>82</v>
      </c>
      <c r="H4" s="17" t="s">
        <v>83</v>
      </c>
      <c r="I4" s="17" t="s">
        <v>84</v>
      </c>
      <c r="J4" s="17" t="s">
        <v>85</v>
      </c>
      <c r="K4" s="17" t="s">
        <v>86</v>
      </c>
    </row>
    <row r="5" spans="2:11">
      <c r="B5" s="6" t="s">
        <v>69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12">
        <f>G6*'P&amp;L assumptions'!G$9/360</f>
        <v>45324.863999999994</v>
      </c>
      <c r="H5" s="12">
        <f>H6*'P&amp;L assumptions'!H$9/360</f>
        <v>47137.858560000001</v>
      </c>
      <c r="I5" s="12">
        <f>I6*'P&amp;L assumptions'!I$9/360</f>
        <v>49023.372902400006</v>
      </c>
      <c r="J5" s="12">
        <f>J6*'P&amp;L assumptions'!J$9/360</f>
        <v>50984.30781849601</v>
      </c>
      <c r="K5" s="12">
        <f>K6*'P&amp;L assumptions'!K$9/360</f>
        <v>53023.680131235851</v>
      </c>
    </row>
    <row r="6" spans="2:11">
      <c r="B6" s="15" t="s">
        <v>110</v>
      </c>
      <c r="C6" s="15">
        <f>C5/'P&amp;L assumptions'!C$9*360</f>
        <v>66.805279820319072</v>
      </c>
      <c r="D6" s="15">
        <f>D5/'P&amp;L assumptions'!D$9*360</f>
        <v>73.588734903349632</v>
      </c>
      <c r="E6" s="15">
        <f>E5/'P&amp;L assumptions'!E$9*360</f>
        <v>75.297198199322338</v>
      </c>
      <c r="G6" s="15">
        <f>$E$6</f>
        <v>75.297198199322338</v>
      </c>
      <c r="H6" s="15">
        <f t="shared" ref="H6:K6" si="0">$E$6</f>
        <v>75.297198199322338</v>
      </c>
      <c r="I6" s="15">
        <f t="shared" si="0"/>
        <v>75.297198199322338</v>
      </c>
      <c r="J6" s="15">
        <f t="shared" si="0"/>
        <v>75.297198199322338</v>
      </c>
      <c r="K6" s="15">
        <f t="shared" si="0"/>
        <v>75.297198199322338</v>
      </c>
    </row>
    <row r="7" spans="2:11">
      <c r="C7" s="12"/>
      <c r="D7" s="12"/>
      <c r="E7" s="12"/>
    </row>
    <row r="8" spans="2:11">
      <c r="B8" s="6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12">
        <f>-G9*'P&amp;L assumptions'!G$21/360</f>
        <v>50858.160126750998</v>
      </c>
      <c r="H8" s="12">
        <f>-H9*'P&amp;L assumptions'!H$21/360</f>
        <v>52892.48653182105</v>
      </c>
      <c r="I8" s="12">
        <f>-I9*'P&amp;L assumptions'!I$21/360</f>
        <v>55008.185993093881</v>
      </c>
      <c r="J8" s="12">
        <f>-J9*'P&amp;L assumptions'!J$21/360</f>
        <v>57208.51343281765</v>
      </c>
      <c r="K8" s="12">
        <f>-K9*'P&amp;L assumptions'!K$21/360</f>
        <v>59496.85397013036</v>
      </c>
    </row>
    <row r="9" spans="2:11">
      <c r="B9" s="15" t="s">
        <v>111</v>
      </c>
      <c r="C9" s="15">
        <f>-C8/'P&amp;L assumptions'!C$21*360</f>
        <v>78.796599890979181</v>
      </c>
      <c r="D9" s="15">
        <f>-D8/'P&amp;L assumptions'!D$21*360</f>
        <v>87.020385727810066</v>
      </c>
      <c r="E9" s="15">
        <f>-E8/'P&amp;L assumptions'!E$21*360</f>
        <v>105.61192646702818</v>
      </c>
      <c r="G9" s="15">
        <f>$E$9</f>
        <v>105.61192646702818</v>
      </c>
      <c r="H9" s="15">
        <f t="shared" ref="H9:K9" si="1">$E$9</f>
        <v>105.61192646702818</v>
      </c>
      <c r="I9" s="15">
        <f t="shared" si="1"/>
        <v>105.61192646702818</v>
      </c>
      <c r="J9" s="15">
        <f t="shared" si="1"/>
        <v>105.61192646702818</v>
      </c>
      <c r="K9" s="15">
        <f t="shared" si="1"/>
        <v>105.61192646702818</v>
      </c>
    </row>
    <row r="10" spans="2:11">
      <c r="C10" s="12"/>
      <c r="D10" s="12"/>
      <c r="E10" s="12"/>
    </row>
    <row r="11" spans="2:11">
      <c r="B11" s="6" t="s">
        <v>38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12">
        <f>-G12*'P&amp;L assumptions'!G$21/360</f>
        <v>39828.106806090793</v>
      </c>
      <c r="H11" s="12">
        <f>-H12*'P&amp;L assumptions'!H$21/360</f>
        <v>41421.231078334436</v>
      </c>
      <c r="I11" s="12">
        <f>-I12*'P&amp;L assumptions'!I$21/360</f>
        <v>43078.080321467816</v>
      </c>
      <c r="J11" s="12">
        <f>-J12*'P&amp;L assumptions'!J$21/360</f>
        <v>44801.203534326523</v>
      </c>
      <c r="K11" s="12">
        <f>-K12*'P&amp;L assumptions'!K$21/360</f>
        <v>46593.25167569959</v>
      </c>
    </row>
    <row r="12" spans="2:11">
      <c r="B12" s="15" t="s">
        <v>112</v>
      </c>
      <c r="C12" s="15">
        <f>-C11/'P&amp;L assumptions'!C$21*360</f>
        <v>40.175971155173656</v>
      </c>
      <c r="D12" s="15">
        <f>-D11/'P&amp;L assumptions'!D$21*360</f>
        <v>63.003516697758023</v>
      </c>
      <c r="E12" s="15">
        <f>-E11/'P&amp;L assumptions'!E$21*360</f>
        <v>82.706945686643365</v>
      </c>
      <c r="G12" s="15">
        <f>$E$12</f>
        <v>82.706945686643365</v>
      </c>
      <c r="H12" s="15">
        <f t="shared" ref="H12:K12" si="2">$E$12</f>
        <v>82.706945686643365</v>
      </c>
      <c r="I12" s="15">
        <f t="shared" si="2"/>
        <v>82.706945686643365</v>
      </c>
      <c r="J12" s="15">
        <f t="shared" si="2"/>
        <v>82.706945686643365</v>
      </c>
      <c r="K12" s="15">
        <f t="shared" si="2"/>
        <v>82.706945686643365</v>
      </c>
    </row>
    <row r="13" spans="2:11">
      <c r="C13" s="12"/>
      <c r="D13" s="12"/>
      <c r="E13" s="12"/>
    </row>
    <row r="14" spans="2:11">
      <c r="B14" s="6" t="s">
        <v>37</v>
      </c>
      <c r="C14" s="12">
        <f>'BS source'!D5</f>
        <v>45106.400000000001</v>
      </c>
      <c r="D14" s="12">
        <f>'BS source'!E5</f>
        <v>49072.4</v>
      </c>
      <c r="E14" s="12">
        <f>'BS source'!F5</f>
        <v>56109.2</v>
      </c>
      <c r="G14" s="12">
        <f>G15*'P&amp;L assumptions'!G$9</f>
        <v>56630.854109233122</v>
      </c>
      <c r="H14" s="12">
        <f>H15*'P&amp;L assumptions'!H$9</f>
        <v>58896.08827360245</v>
      </c>
      <c r="I14" s="12">
        <f>I15*'P&amp;L assumptions'!I$9</f>
        <v>61251.931804546555</v>
      </c>
      <c r="J14" s="12">
        <f>J15*'P&amp;L assumptions'!J$9</f>
        <v>63702.009076728427</v>
      </c>
      <c r="K14" s="12">
        <f>K15*'P&amp;L assumptions'!K$9</f>
        <v>66250.089439797564</v>
      </c>
    </row>
    <row r="15" spans="2:11">
      <c r="B15" s="15" t="s">
        <v>113</v>
      </c>
      <c r="C15" s="30">
        <f>C14/'P&amp;L assumptions'!C$9</f>
        <v>0.25454648059005774</v>
      </c>
      <c r="D15" s="30">
        <f>D14/'P&amp;L assumptions'!D$9</f>
        <v>0.26016817058817293</v>
      </c>
      <c r="E15" s="30">
        <f>E14/'P&amp;L assumptions'!E$9</f>
        <v>0.26928193659234229</v>
      </c>
      <c r="G15" s="30">
        <f>AVERAGE($C15:$E15)</f>
        <v>0.26133219592352436</v>
      </c>
      <c r="H15" s="30">
        <f t="shared" ref="H15:K15" si="3">AVERAGE($C15:$E15)</f>
        <v>0.26133219592352436</v>
      </c>
      <c r="I15" s="30">
        <f t="shared" si="3"/>
        <v>0.26133219592352436</v>
      </c>
      <c r="J15" s="30">
        <f t="shared" si="3"/>
        <v>0.26133219592352436</v>
      </c>
      <c r="K15" s="30">
        <f t="shared" si="3"/>
        <v>0.26133219592352436</v>
      </c>
    </row>
    <row r="16" spans="2:11">
      <c r="C16" s="12"/>
      <c r="D16" s="12"/>
      <c r="E16" s="12"/>
      <c r="G16" s="46"/>
      <c r="H16" s="46"/>
      <c r="I16" s="46"/>
      <c r="J16" s="46"/>
      <c r="K16" s="46"/>
    </row>
    <row r="17" spans="2:11">
      <c r="B17" s="6" t="s">
        <v>28</v>
      </c>
      <c r="C17" s="12">
        <f>'BS source'!D12</f>
        <v>8841.6</v>
      </c>
      <c r="D17" s="12">
        <f>'BS source'!E12</f>
        <v>11359.199999999999</v>
      </c>
      <c r="E17" s="12">
        <f>'BS source'!F12</f>
        <v>17602.8</v>
      </c>
      <c r="G17" s="12">
        <f>G18*'P&amp;L assumptions'!G$9</f>
        <v>14056.562930648053</v>
      </c>
      <c r="H17" s="12">
        <f>H18*'P&amp;L assumptions'!H$9</f>
        <v>14618.825447873976</v>
      </c>
      <c r="I17" s="12">
        <f>I18*'P&amp;L assumptions'!I$9</f>
        <v>15203.578465788938</v>
      </c>
      <c r="J17" s="12">
        <f>J18*'P&amp;L assumptions'!J$9</f>
        <v>15811.721604420496</v>
      </c>
      <c r="K17" s="12">
        <f>K18*'P&amp;L assumptions'!K$9</f>
        <v>16444.190468597317</v>
      </c>
    </row>
    <row r="18" spans="2:11">
      <c r="B18" s="15" t="s">
        <v>113</v>
      </c>
      <c r="C18" s="30">
        <f>C17/'P&amp;L assumptions'!C$9</f>
        <v>4.9895317799360059E-2</v>
      </c>
      <c r="D18" s="30">
        <f>D17/'P&amp;L assumptions'!D$9</f>
        <v>6.0223308485934532E-2</v>
      </c>
      <c r="E18" s="30">
        <f>E17/'P&amp;L assumptions'!E$9</f>
        <v>8.4480193505658316E-2</v>
      </c>
      <c r="G18" s="30">
        <f>AVERAGE($C18:$E18)</f>
        <v>6.4866273263650964E-2</v>
      </c>
      <c r="H18" s="30">
        <f t="shared" ref="H18:K18" si="4">AVERAGE($C18:$E18)</f>
        <v>6.4866273263650964E-2</v>
      </c>
      <c r="I18" s="30">
        <f t="shared" si="4"/>
        <v>6.4866273263650964E-2</v>
      </c>
      <c r="J18" s="30">
        <f t="shared" si="4"/>
        <v>6.4866273263650964E-2</v>
      </c>
      <c r="K18" s="30">
        <f t="shared" si="4"/>
        <v>6.4866273263650964E-2</v>
      </c>
    </row>
    <row r="19" spans="2:11">
      <c r="C19" s="12"/>
      <c r="D19" s="12"/>
      <c r="E19" s="12"/>
      <c r="G19" s="46"/>
      <c r="H19" s="46"/>
      <c r="I19" s="46"/>
      <c r="J19" s="46"/>
      <c r="K19" s="46"/>
    </row>
    <row r="20" spans="2:11">
      <c r="B20" s="6" t="s">
        <v>109</v>
      </c>
      <c r="C20" s="12">
        <f>SUM('BS source'!J11:J13)</f>
        <v>5969.0386666666891</v>
      </c>
      <c r="D20" s="12">
        <f>SUM('BS source'!K11:K13)</f>
        <v>5800.3560000000052</v>
      </c>
      <c r="E20" s="12">
        <f>SUM('BS source'!L11:L13)</f>
        <v>8473.4464253970418</v>
      </c>
      <c r="G20" s="12">
        <f>G21*'P&amp;L assumptions'!G$9</f>
        <v>7591.9469069919087</v>
      </c>
      <c r="H20" s="12">
        <f>H21*'P&amp;L assumptions'!H$9</f>
        <v>7895.6247832715862</v>
      </c>
      <c r="I20" s="12">
        <f>I21*'P&amp;L assumptions'!I$9</f>
        <v>8211.4497746024499</v>
      </c>
      <c r="J20" s="12">
        <f>J21*'P&amp;L assumptions'!J$9</f>
        <v>8539.9077655865494</v>
      </c>
      <c r="K20" s="12">
        <f>K21*'P&amp;L assumptions'!K$9</f>
        <v>8881.5040762100107</v>
      </c>
    </row>
    <row r="21" spans="2:11">
      <c r="B21" s="15" t="s">
        <v>113</v>
      </c>
      <c r="C21" s="30">
        <f>C20/'P&amp;L assumptions'!C$9</f>
        <v>3.368474950574589E-2</v>
      </c>
      <c r="D21" s="30">
        <f>D20/'P&amp;L assumptions'!D$9</f>
        <v>3.0751868856630889E-2</v>
      </c>
      <c r="E21" s="30">
        <f>E20/'P&amp;L assumptions'!E$9</f>
        <v>4.0666166387016318E-2</v>
      </c>
      <c r="G21" s="30">
        <f>AVERAGE($C21:$E21)</f>
        <v>3.5034261583131034E-2</v>
      </c>
      <c r="H21" s="30">
        <f t="shared" ref="H21:K21" si="5">AVERAGE($C21:$E21)</f>
        <v>3.5034261583131034E-2</v>
      </c>
      <c r="I21" s="30">
        <f t="shared" si="5"/>
        <v>3.5034261583131034E-2</v>
      </c>
      <c r="J21" s="30">
        <f t="shared" si="5"/>
        <v>3.5034261583131034E-2</v>
      </c>
      <c r="K21" s="30">
        <f t="shared" si="5"/>
        <v>3.5034261583131034E-2</v>
      </c>
    </row>
  </sheetData>
  <pageMargins left="0.7" right="0.7" top="0.75" bottom="0.75" header="0.3" footer="0.3"/>
  <pageSetup orientation="portrait" r:id="rId1"/>
  <ignoredErrors>
    <ignoredError sqref="C20:E2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42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>
      <selection activeCell="B3" sqref="B3:K4"/>
    </sheetView>
  </sheetViews>
  <sheetFormatPr defaultColWidth="9.109375" defaultRowHeight="11.4"/>
  <cols>
    <col min="1" max="1" width="2" style="6" customWidth="1"/>
    <col min="2" max="2" width="18.33203125" style="6" bestFit="1" customWidth="1"/>
    <col min="3" max="3" width="10.5546875" style="6" bestFit="1" customWidth="1"/>
    <col min="4" max="5" width="9.109375" style="6"/>
    <col min="6" max="6" width="2" style="6" customWidth="1"/>
    <col min="7" max="7" width="10.5546875" style="6" bestFit="1" customWidth="1"/>
    <col min="8" max="11" width="9.109375" style="6"/>
    <col min="12" max="12" width="2" style="6" customWidth="1"/>
    <col min="13" max="16384" width="9.109375" style="6"/>
  </cols>
  <sheetData>
    <row r="1" spans="2:13" ht="15.6">
      <c r="B1" s="5" t="s">
        <v>6</v>
      </c>
    </row>
    <row r="3" spans="2:13" ht="24.6" thickBot="1">
      <c r="B3" s="16" t="s">
        <v>47</v>
      </c>
      <c r="C3" s="17" t="s">
        <v>79</v>
      </c>
      <c r="D3" s="17" t="s">
        <v>80</v>
      </c>
      <c r="E3" s="17" t="s">
        <v>81</v>
      </c>
      <c r="F3" s="18"/>
      <c r="G3" s="17" t="s">
        <v>82</v>
      </c>
      <c r="H3" s="17" t="s">
        <v>83</v>
      </c>
      <c r="I3" s="17" t="s">
        <v>84</v>
      </c>
      <c r="J3" s="17" t="s">
        <v>85</v>
      </c>
      <c r="K3" s="17" t="s">
        <v>86</v>
      </c>
      <c r="M3" s="19" t="s">
        <v>52</v>
      </c>
    </row>
    <row r="4" spans="2:13">
      <c r="B4" s="6" t="s">
        <v>65</v>
      </c>
      <c r="C4" s="12">
        <f>SUMIF('P&amp;L assumptions'!$B:$B,'P&amp;L'!$B4,'P&amp;L assumptions'!C:C)</f>
        <v>177203</v>
      </c>
      <c r="D4" s="12">
        <f>SUMIF('P&amp;L assumptions'!$B:$B,'P&amp;L'!$B4,'P&amp;L assumptions'!D:D)</f>
        <v>188618</v>
      </c>
      <c r="E4" s="12">
        <f>SUMIF('P&amp;L assumptions'!$B:$B,'P&amp;L'!$B4,'P&amp;L assumptions'!E:E)</f>
        <v>208366</v>
      </c>
      <c r="F4" s="49"/>
      <c r="G4" s="12">
        <f>SUMIF('P&amp;L assumptions'!$B:$B,'P&amp;L'!$B4,'P&amp;L assumptions'!G:G)</f>
        <v>216700.64</v>
      </c>
      <c r="H4" s="12">
        <f>SUMIF('P&amp;L assumptions'!$B:$B,'P&amp;L'!$B4,'P&amp;L assumptions'!H:H)</f>
        <v>225368.66560000004</v>
      </c>
      <c r="I4" s="12">
        <f>SUMIF('P&amp;L assumptions'!$B:$B,'P&amp;L'!$B4,'P&amp;L assumptions'!I:I)</f>
        <v>234383.41222400006</v>
      </c>
      <c r="J4" s="12">
        <f>SUMIF('P&amp;L assumptions'!$B:$B,'P&amp;L'!$B4,'P&amp;L assumptions'!J:J)</f>
        <v>243758.74871296008</v>
      </c>
      <c r="K4" s="12">
        <f>SUMIF('P&amp;L assumptions'!$B:$B,'P&amp;L'!$B4,'P&amp;L assumptions'!K:K)</f>
        <v>253509.09866147849</v>
      </c>
    </row>
    <row r="5" spans="2:13">
      <c r="B5" s="6" t="s">
        <v>66</v>
      </c>
      <c r="C5" s="12">
        <f>SUMIF('P&amp;L assumptions'!$B:$B,'P&amp;L'!$B5,'P&amp;L assumptions'!C:C)</f>
        <v>3520</v>
      </c>
      <c r="D5" s="12">
        <f>SUMIF('P&amp;L assumptions'!$B:$B,'P&amp;L'!$B5,'P&amp;L assumptions'!D:D)</f>
        <v>2416</v>
      </c>
      <c r="E5" s="12">
        <f>SUMIF('P&amp;L assumptions'!$B:$B,'P&amp;L'!$B5,'P&amp;L assumptions'!E:E)</f>
        <v>2585</v>
      </c>
      <c r="F5" s="49"/>
      <c r="G5" s="12">
        <f>SUMIF('P&amp;L assumptions'!$B:$B,'P&amp;L'!$B5,'P&amp;L assumptions'!G:G)</f>
        <v>2585</v>
      </c>
      <c r="H5" s="12">
        <f>SUMIF('P&amp;L assumptions'!$B:$B,'P&amp;L'!$B5,'P&amp;L assumptions'!H:H)</f>
        <v>2585</v>
      </c>
      <c r="I5" s="12">
        <f>SUMIF('P&amp;L assumptions'!$B:$B,'P&amp;L'!$B5,'P&amp;L assumptions'!I:I)</f>
        <v>2585</v>
      </c>
      <c r="J5" s="12">
        <f>SUMIF('P&amp;L assumptions'!$B:$B,'P&amp;L'!$B5,'P&amp;L assumptions'!J:J)</f>
        <v>2585</v>
      </c>
      <c r="K5" s="12">
        <f>SUMIF('P&amp;L assumptions'!$B:$B,'P&amp;L'!$B5,'P&amp;L assumptions'!K:K)</f>
        <v>2585</v>
      </c>
    </row>
    <row r="6" spans="2:13" ht="12">
      <c r="B6" s="38" t="s">
        <v>70</v>
      </c>
      <c r="C6" s="39">
        <f>SUM(C4:C5)</f>
        <v>180723</v>
      </c>
      <c r="D6" s="39">
        <f t="shared" ref="D6:K6" si="0">SUM(D4:D5)</f>
        <v>191034</v>
      </c>
      <c r="E6" s="39">
        <f t="shared" si="0"/>
        <v>210951</v>
      </c>
      <c r="F6" s="50"/>
      <c r="G6" s="39">
        <f t="shared" si="0"/>
        <v>219285.64</v>
      </c>
      <c r="H6" s="39">
        <f t="shared" si="0"/>
        <v>227953.66560000004</v>
      </c>
      <c r="I6" s="39">
        <f t="shared" si="0"/>
        <v>236968.41222400006</v>
      </c>
      <c r="J6" s="39">
        <f t="shared" si="0"/>
        <v>246343.74871296008</v>
      </c>
      <c r="K6" s="39">
        <f t="shared" si="0"/>
        <v>256094.09866147849</v>
      </c>
    </row>
    <row r="7" spans="2:13" ht="3.75" customHeight="1">
      <c r="B7" s="20"/>
      <c r="C7" s="28"/>
      <c r="D7" s="28"/>
      <c r="E7" s="28"/>
      <c r="F7" s="50"/>
      <c r="G7" s="28"/>
      <c r="H7" s="28"/>
      <c r="I7" s="28"/>
      <c r="J7" s="28"/>
      <c r="K7" s="28"/>
    </row>
    <row r="8" spans="2:13">
      <c r="B8" s="6" t="s">
        <v>67</v>
      </c>
      <c r="C8" s="12">
        <f>SUMIF('P&amp;L assumptions'!$B:$B,'P&amp;L'!$B8,'P&amp;L assumptions'!C:C)</f>
        <v>-142394.36746666671</v>
      </c>
      <c r="D8" s="12">
        <f>SUMIF('P&amp;L assumptions'!$B:$B,'P&amp;L'!$B8,'P&amp;L assumptions'!D:D)</f>
        <v>-150572.16639999999</v>
      </c>
      <c r="E8" s="12">
        <f>SUMIF('P&amp;L assumptions'!$B:$B,'P&amp;L'!$B8,'P&amp;L assumptions'!E:E)</f>
        <v>-157523.118425397</v>
      </c>
      <c r="F8" s="49"/>
      <c r="G8" s="12">
        <f>SUMIF('P&amp;L assumptions'!$B:$B,'P&amp;L'!$B8,'P&amp;L assumptions'!G:G)</f>
        <v>-173360.51200000002</v>
      </c>
      <c r="H8" s="12">
        <f>SUMIF('P&amp;L assumptions'!$B:$B,'P&amp;L'!$B8,'P&amp;L assumptions'!H:H)</f>
        <v>-180294.93248000005</v>
      </c>
      <c r="I8" s="12">
        <f>SUMIF('P&amp;L assumptions'!$B:$B,'P&amp;L'!$B8,'P&amp;L assumptions'!I:I)</f>
        <v>-187506.72977920005</v>
      </c>
      <c r="J8" s="12">
        <f>SUMIF('P&amp;L assumptions'!$B:$B,'P&amp;L'!$B8,'P&amp;L assumptions'!J:J)</f>
        <v>-195006.99897036806</v>
      </c>
      <c r="K8" s="12">
        <f>SUMIF('P&amp;L assumptions'!$B:$B,'P&amp;L'!$B8,'P&amp;L assumptions'!K:K)</f>
        <v>-202807.27892918279</v>
      </c>
    </row>
    <row r="9" spans="2:13" ht="12">
      <c r="B9" s="38" t="s">
        <v>71</v>
      </c>
      <c r="C9" s="39">
        <f>C6+C8</f>
        <v>38328.632533333293</v>
      </c>
      <c r="D9" s="39">
        <f t="shared" ref="D9:K9" si="1">D6+D8</f>
        <v>40461.833600000013</v>
      </c>
      <c r="E9" s="39">
        <f t="shared" si="1"/>
        <v>53427.881574603001</v>
      </c>
      <c r="F9" s="50"/>
      <c r="G9" s="39">
        <f t="shared" si="1"/>
        <v>45925.127999999997</v>
      </c>
      <c r="H9" s="39">
        <f t="shared" si="1"/>
        <v>47658.73311999999</v>
      </c>
      <c r="I9" s="39">
        <f t="shared" si="1"/>
        <v>49461.682444800012</v>
      </c>
      <c r="J9" s="39">
        <f t="shared" si="1"/>
        <v>51336.749742592016</v>
      </c>
      <c r="K9" s="39">
        <f t="shared" si="1"/>
        <v>53286.819732295698</v>
      </c>
    </row>
    <row r="10" spans="2:13" ht="3.75" customHeight="1">
      <c r="F10" s="51"/>
    </row>
    <row r="11" spans="2:13">
      <c r="B11" s="6" t="s">
        <v>68</v>
      </c>
      <c r="C11" s="12">
        <f>SUMIF('P&amp;L assumptions'!$B:$B,'P&amp;L'!$B11,'P&amp;L assumptions'!C:C)</f>
        <v>-18011.315200000005</v>
      </c>
      <c r="D11" s="12">
        <f>SUMIF('P&amp;L assumptions'!$B:$B,'P&amp;L'!$B11,'P&amp;L assumptions'!D:D)</f>
        <v>-19247.897599999997</v>
      </c>
      <c r="E11" s="12">
        <f>SUMIF('P&amp;L assumptions'!$B:$B,'P&amp;L'!$B11,'P&amp;L assumptions'!E:E)</f>
        <v>-23867.008000000009</v>
      </c>
      <c r="F11" s="49"/>
      <c r="G11" s="12">
        <f>SUMIF('P&amp;L assumptions'!$B:$B,'P&amp;L'!$B11,'P&amp;L assumptions'!G:G)</f>
        <v>-23837.070400000001</v>
      </c>
      <c r="H11" s="12">
        <f>SUMIF('P&amp;L assumptions'!$B:$B,'P&amp;L'!$B11,'P&amp;L assumptions'!H:H)</f>
        <v>-24790.553216000004</v>
      </c>
      <c r="I11" s="12">
        <f>SUMIF('P&amp;L assumptions'!$B:$B,'P&amp;L'!$B11,'P&amp;L assumptions'!I:I)</f>
        <v>-25782.175344640007</v>
      </c>
      <c r="J11" s="12">
        <f>SUMIF('P&amp;L assumptions'!$B:$B,'P&amp;L'!$B11,'P&amp;L assumptions'!J:J)</f>
        <v>-26813.462358425608</v>
      </c>
      <c r="K11" s="12">
        <f>SUMIF('P&amp;L assumptions'!$B:$B,'P&amp;L'!$B11,'P&amp;L assumptions'!K:K)</f>
        <v>-27886.000852762634</v>
      </c>
    </row>
    <row r="12" spans="2:13" ht="12">
      <c r="B12" s="38" t="s">
        <v>14</v>
      </c>
      <c r="C12" s="39">
        <f>C9+C11</f>
        <v>20317.317333333289</v>
      </c>
      <c r="D12" s="39">
        <f t="shared" ref="D12:K12" si="2">D9+D11</f>
        <v>21213.936000000016</v>
      </c>
      <c r="E12" s="39">
        <f t="shared" si="2"/>
        <v>29560.873574602992</v>
      </c>
      <c r="F12" s="50"/>
      <c r="G12" s="39">
        <f t="shared" si="2"/>
        <v>22088.057599999996</v>
      </c>
      <c r="H12" s="39">
        <f t="shared" si="2"/>
        <v>22868.179903999986</v>
      </c>
      <c r="I12" s="39">
        <f t="shared" si="2"/>
        <v>23679.507100160004</v>
      </c>
      <c r="J12" s="39">
        <f t="shared" si="2"/>
        <v>24523.287384166408</v>
      </c>
      <c r="K12" s="39">
        <f t="shared" si="2"/>
        <v>25400.818879533064</v>
      </c>
    </row>
    <row r="13" spans="2:13" ht="3.75" customHeight="1">
      <c r="C13" s="12"/>
      <c r="D13" s="12"/>
      <c r="E13" s="12"/>
      <c r="F13" s="49"/>
      <c r="G13" s="12"/>
      <c r="H13" s="12"/>
      <c r="I13" s="12"/>
      <c r="J13" s="12"/>
      <c r="K13" s="12"/>
    </row>
    <row r="14" spans="2:13">
      <c r="B14" s="6" t="s">
        <v>15</v>
      </c>
      <c r="C14" s="12">
        <f>SUMIF('P&amp;L assumptions'!$B:$B,'P&amp;L'!$B14,'P&amp;L assumptions'!C:C)</f>
        <v>-2907.8000000000006</v>
      </c>
      <c r="D14" s="12">
        <f>SUMIF('P&amp;L assumptions'!$B:$B,'P&amp;L'!$B14,'P&amp;L assumptions'!D:D)</f>
        <v>-4649.8</v>
      </c>
      <c r="E14" s="12">
        <f>SUMIF('P&amp;L assumptions'!$B:$B,'P&amp;L'!$B14,'P&amp;L assumptions'!E:E)</f>
        <v>-6430.6600000000008</v>
      </c>
      <c r="F14" s="49"/>
      <c r="G14" s="12">
        <f>SUMIF('P&amp;L assumptions'!$B:$B,'P&amp;L'!$B14,'P&amp;L assumptions'!G:G)</f>
        <v>-6501.0191999999997</v>
      </c>
      <c r="H14" s="12">
        <f>SUMIF('P&amp;L assumptions'!$B:$B,'P&amp;L'!$B14,'P&amp;L assumptions'!H:H)</f>
        <v>-6761.0599680000005</v>
      </c>
      <c r="I14" s="12">
        <f>SUMIF('P&amp;L assumptions'!$B:$B,'P&amp;L'!$B14,'P&amp;L assumptions'!I:I)</f>
        <v>-7031.5023667200012</v>
      </c>
      <c r="J14" s="12">
        <f>SUMIF('P&amp;L assumptions'!$B:$B,'P&amp;L'!$B14,'P&amp;L assumptions'!J:J)</f>
        <v>-7312.762461388802</v>
      </c>
      <c r="K14" s="12">
        <f>SUMIF('P&amp;L assumptions'!$B:$B,'P&amp;L'!$B14,'P&amp;L assumptions'!K:K)</f>
        <v>-7605.2729598443548</v>
      </c>
    </row>
    <row r="15" spans="2:13" ht="12">
      <c r="B15" s="38" t="s">
        <v>16</v>
      </c>
      <c r="C15" s="39">
        <f>C12+C14</f>
        <v>17409.51733333329</v>
      </c>
      <c r="D15" s="39">
        <f t="shared" ref="D15:K15" si="3">D12+D14</f>
        <v>16564.136000000017</v>
      </c>
      <c r="E15" s="39">
        <f t="shared" si="3"/>
        <v>23130.213574602993</v>
      </c>
      <c r="F15" s="50"/>
      <c r="G15" s="39">
        <f t="shared" si="3"/>
        <v>15587.038399999998</v>
      </c>
      <c r="H15" s="39">
        <f t="shared" si="3"/>
        <v>16107.119935999985</v>
      </c>
      <c r="I15" s="39">
        <f t="shared" si="3"/>
        <v>16648.004733440004</v>
      </c>
      <c r="J15" s="39">
        <f t="shared" si="3"/>
        <v>17210.524922777608</v>
      </c>
      <c r="K15" s="39">
        <f t="shared" si="3"/>
        <v>17795.54591968871</v>
      </c>
    </row>
    <row r="16" spans="2:13" ht="3.75" customHeight="1">
      <c r="B16" s="20"/>
      <c r="C16" s="24"/>
      <c r="D16" s="24"/>
      <c r="E16" s="24"/>
      <c r="F16" s="52"/>
      <c r="G16" s="24"/>
      <c r="H16" s="24"/>
      <c r="I16" s="24"/>
      <c r="J16" s="24"/>
      <c r="K16" s="24"/>
    </row>
    <row r="17" spans="2:11" ht="12" customHeight="1">
      <c r="B17" s="6" t="s">
        <v>72</v>
      </c>
      <c r="C17" s="12">
        <f>SUMIF('P&amp;L assumptions'!$B:$B,'P&amp;L'!$B17,'P&amp;L assumptions'!C:C)</f>
        <v>-1266.3000000000002</v>
      </c>
      <c r="D17" s="12">
        <f>SUMIF('P&amp;L assumptions'!$B:$B,'P&amp;L'!$B17,'P&amp;L assumptions'!D:D)</f>
        <v>-2190.9</v>
      </c>
      <c r="E17" s="12">
        <f>SUMIF('P&amp;L assumptions'!$B:$B,'P&amp;L'!$B17,'P&amp;L assumptions'!E:E)</f>
        <v>-2663.92</v>
      </c>
      <c r="F17" s="49"/>
      <c r="G17" s="12">
        <f>SUMIF('P&amp;L assumptions'!$B:$B,'P&amp;L'!$B17,'P&amp;L assumptions'!G:G)</f>
        <v>-2663.92</v>
      </c>
      <c r="H17" s="12">
        <f>SUMIF('P&amp;L assumptions'!$B:$B,'P&amp;L'!$B17,'P&amp;L assumptions'!H:H)</f>
        <v>-2663.92</v>
      </c>
      <c r="I17" s="12">
        <f>SUMIF('P&amp;L assumptions'!$B:$B,'P&amp;L'!$B17,'P&amp;L assumptions'!I:I)</f>
        <v>-2663.92</v>
      </c>
      <c r="J17" s="12">
        <f>SUMIF('P&amp;L assumptions'!$B:$B,'P&amp;L'!$B17,'P&amp;L assumptions'!J:J)</f>
        <v>-2663.92</v>
      </c>
      <c r="K17" s="12">
        <f>SUMIF('P&amp;L assumptions'!$B:$B,'P&amp;L'!$B17,'P&amp;L assumptions'!K:K)</f>
        <v>-2663.92</v>
      </c>
    </row>
    <row r="18" spans="2:11" ht="12" customHeight="1">
      <c r="B18" s="6" t="s">
        <v>73</v>
      </c>
      <c r="C18" s="12">
        <f>SUMIF('P&amp;L assumptions'!$B:$B,'P&amp;L'!$B18,'P&amp;L assumptions'!C:C)</f>
        <v>-317.58000000000004</v>
      </c>
      <c r="D18" s="12">
        <f>SUMIF('P&amp;L assumptions'!$B:$B,'P&amp;L'!$B18,'P&amp;L assumptions'!D:D)</f>
        <v>-864.30000000000007</v>
      </c>
      <c r="E18" s="12">
        <f>SUMIF('P&amp;L assumptions'!$B:$B,'P&amp;L'!$B18,'P&amp;L assumptions'!E:E)</f>
        <v>-320.26</v>
      </c>
      <c r="F18" s="49"/>
      <c r="G18" s="12">
        <f>SUMIF('P&amp;L assumptions'!$B:$B,'P&amp;L'!$B18,'P&amp;L assumptions'!G:G)</f>
        <v>0</v>
      </c>
      <c r="H18" s="12">
        <f>SUMIF('P&amp;L assumptions'!$B:$B,'P&amp;L'!$B18,'P&amp;L assumptions'!H:H)</f>
        <v>0</v>
      </c>
      <c r="I18" s="12">
        <f>SUMIF('P&amp;L assumptions'!$B:$B,'P&amp;L'!$B18,'P&amp;L assumptions'!I:I)</f>
        <v>0</v>
      </c>
      <c r="J18" s="12">
        <f>SUMIF('P&amp;L assumptions'!$B:$B,'P&amp;L'!$B18,'P&amp;L assumptions'!J:J)</f>
        <v>0</v>
      </c>
      <c r="K18" s="12">
        <f>SUMIF('P&amp;L assumptions'!$B:$B,'P&amp;L'!$B18,'P&amp;L assumptions'!K:K)</f>
        <v>0</v>
      </c>
    </row>
    <row r="19" spans="2:11" ht="12" customHeight="1">
      <c r="B19" s="38" t="s">
        <v>19</v>
      </c>
      <c r="C19" s="39">
        <f>C15+SUM(C17:C18)</f>
        <v>15825.637333333289</v>
      </c>
      <c r="D19" s="39">
        <f t="shared" ref="D19:K19" si="4">D15+SUM(D17:D18)</f>
        <v>13508.936000000016</v>
      </c>
      <c r="E19" s="39">
        <f t="shared" si="4"/>
        <v>20146.033574602992</v>
      </c>
      <c r="F19" s="50"/>
      <c r="G19" s="39">
        <f t="shared" si="4"/>
        <v>12923.118399999998</v>
      </c>
      <c r="H19" s="39">
        <f t="shared" si="4"/>
        <v>13443.199935999985</v>
      </c>
      <c r="I19" s="39">
        <f t="shared" si="4"/>
        <v>13984.084733440004</v>
      </c>
      <c r="J19" s="39">
        <f t="shared" si="4"/>
        <v>14546.604922777607</v>
      </c>
      <c r="K19" s="39">
        <f t="shared" si="4"/>
        <v>15131.625919688709</v>
      </c>
    </row>
    <row r="20" spans="2:11" ht="3.75" customHeight="1">
      <c r="C20" s="12"/>
      <c r="D20" s="12"/>
      <c r="E20" s="12"/>
      <c r="F20" s="49"/>
      <c r="G20" s="12"/>
      <c r="H20" s="12"/>
      <c r="I20" s="12"/>
      <c r="J20" s="12"/>
      <c r="K20" s="12"/>
    </row>
    <row r="21" spans="2:11">
      <c r="B21" s="6" t="s">
        <v>20</v>
      </c>
      <c r="C21" s="31">
        <f>SUMIF('P&amp;L assumptions'!$B:$B,'P&amp;L'!$B21,'P&amp;L assumptions'!C:C)</f>
        <v>-3805.7759999999998</v>
      </c>
      <c r="D21" s="31">
        <f>SUMIF('P&amp;L assumptions'!$B:$B,'P&amp;L'!$B21,'P&amp;L assumptions'!D:D)</f>
        <v>-3050.192</v>
      </c>
      <c r="E21" s="31">
        <f>SUMIF('P&amp;L assumptions'!$B:$B,'P&amp;L'!$B21,'P&amp;L assumptions'!E:E)</f>
        <v>-3814.88</v>
      </c>
      <c r="F21" s="53"/>
      <c r="G21" s="31">
        <f>G19*G22</f>
        <v>-2843.0860479999997</v>
      </c>
      <c r="H21" s="31">
        <f t="shared" ref="H21:K21" si="5">H19*H22</f>
        <v>-2957.5039859199965</v>
      </c>
      <c r="I21" s="31">
        <f t="shared" si="5"/>
        <v>-3076.4986413568008</v>
      </c>
      <c r="J21" s="31">
        <f t="shared" si="5"/>
        <v>-3200.2530830110736</v>
      </c>
      <c r="K21" s="31">
        <f t="shared" si="5"/>
        <v>-3328.957702331516</v>
      </c>
    </row>
    <row r="22" spans="2:11">
      <c r="B22" s="6" t="s">
        <v>74</v>
      </c>
      <c r="C22" s="21">
        <f>C21/C19</f>
        <v>-0.24048168928931249</v>
      </c>
      <c r="D22" s="21">
        <f t="shared" ref="D22:K22" si="6">D21/D19</f>
        <v>-0.22579069143565389</v>
      </c>
      <c r="E22" s="21">
        <f t="shared" si="6"/>
        <v>-0.18936134430001206</v>
      </c>
      <c r="F22" s="54"/>
      <c r="G22" s="21">
        <f>'P&amp;L assumptions'!G52</f>
        <v>-0.22</v>
      </c>
      <c r="H22" s="21">
        <f>'P&amp;L assumptions'!H52</f>
        <v>-0.22</v>
      </c>
      <c r="I22" s="21">
        <f>'P&amp;L assumptions'!I52</f>
        <v>-0.22</v>
      </c>
      <c r="J22" s="21">
        <f>'P&amp;L assumptions'!J52</f>
        <v>-0.22</v>
      </c>
      <c r="K22" s="21">
        <f>'P&amp;L assumptions'!K52</f>
        <v>-0.22</v>
      </c>
    </row>
    <row r="23" spans="2:11" ht="3.75" customHeight="1">
      <c r="C23" s="12"/>
      <c r="D23" s="12"/>
      <c r="E23" s="12"/>
      <c r="F23" s="49"/>
      <c r="G23" s="12"/>
      <c r="H23" s="12"/>
      <c r="I23" s="12"/>
      <c r="J23" s="12"/>
      <c r="K23" s="12"/>
    </row>
    <row r="24" spans="2:11" ht="12">
      <c r="B24" s="36" t="s">
        <v>21</v>
      </c>
      <c r="C24" s="37">
        <f>C19+C21</f>
        <v>12019.861333333289</v>
      </c>
      <c r="D24" s="37">
        <f t="shared" ref="D24:K24" si="7">D19+D21</f>
        <v>10458.744000000017</v>
      </c>
      <c r="E24" s="37">
        <f t="shared" si="7"/>
        <v>16331.153574602991</v>
      </c>
      <c r="F24" s="37">
        <f t="shared" si="7"/>
        <v>0</v>
      </c>
      <c r="G24" s="37">
        <f t="shared" si="7"/>
        <v>10080.032351999998</v>
      </c>
      <c r="H24" s="37">
        <f t="shared" si="7"/>
        <v>10485.695950079988</v>
      </c>
      <c r="I24" s="37">
        <f t="shared" si="7"/>
        <v>10907.586092083204</v>
      </c>
      <c r="J24" s="37">
        <f t="shared" si="7"/>
        <v>11346.351839766534</v>
      </c>
      <c r="K24" s="37">
        <f t="shared" si="7"/>
        <v>11802.668217357193</v>
      </c>
    </row>
    <row r="25" spans="2:11">
      <c r="C25" s="12"/>
      <c r="D25" s="12"/>
      <c r="E25" s="12"/>
      <c r="F25" s="12"/>
      <c r="G25" s="6" t="s">
        <v>75</v>
      </c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75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>
      <selection activeCell="I25" sqref="I25"/>
    </sheetView>
  </sheetViews>
  <sheetFormatPr defaultColWidth="9.109375" defaultRowHeight="11.4"/>
  <cols>
    <col min="1" max="1" width="2" style="6" customWidth="1"/>
    <col min="2" max="2" width="22.6640625" style="6" bestFit="1" customWidth="1"/>
    <col min="3" max="3" width="9.109375" style="6"/>
    <col min="4" max="4" width="9.5546875" style="6" bestFit="1" customWidth="1"/>
    <col min="5" max="5" width="9.109375" style="6"/>
    <col min="6" max="6" width="2" style="6" customWidth="1"/>
    <col min="7" max="7" width="9.5546875" style="6" bestFit="1" customWidth="1"/>
    <col min="8" max="11" width="9.109375" style="6"/>
    <col min="12" max="12" width="2" style="6" customWidth="1"/>
    <col min="13" max="16384" width="9.109375" style="6"/>
  </cols>
  <sheetData>
    <row r="1" spans="2:13" ht="15.6">
      <c r="B1" s="5" t="s">
        <v>53</v>
      </c>
    </row>
    <row r="3" spans="2:13" ht="24.6" thickBot="1">
      <c r="B3" s="16" t="s">
        <v>47</v>
      </c>
      <c r="C3" s="17" t="s">
        <v>79</v>
      </c>
      <c r="D3" s="17" t="s">
        <v>80</v>
      </c>
      <c r="E3" s="17" t="s">
        <v>81</v>
      </c>
      <c r="F3" s="18"/>
      <c r="G3" s="17" t="s">
        <v>82</v>
      </c>
      <c r="H3" s="17" t="s">
        <v>83</v>
      </c>
      <c r="I3" s="17" t="s">
        <v>84</v>
      </c>
      <c r="J3" s="17" t="s">
        <v>85</v>
      </c>
      <c r="K3" s="17" t="s">
        <v>86</v>
      </c>
      <c r="M3" s="19" t="s">
        <v>52</v>
      </c>
    </row>
    <row r="4" spans="2:13">
      <c r="B4" s="6" t="s">
        <v>26</v>
      </c>
      <c r="C4" s="12">
        <f>'BS source'!D4</f>
        <v>5961.6</v>
      </c>
      <c r="D4" s="12">
        <f>'BS source'!E4</f>
        <v>5840</v>
      </c>
      <c r="E4" s="12">
        <f>'BS source'!F4</f>
        <v>5650</v>
      </c>
      <c r="G4" s="12">
        <f>$E$4</f>
        <v>5650</v>
      </c>
      <c r="H4" s="12">
        <f t="shared" ref="H4:K4" si="0">$E$4</f>
        <v>5650</v>
      </c>
      <c r="I4" s="12">
        <f t="shared" si="0"/>
        <v>5650</v>
      </c>
      <c r="J4" s="12">
        <f t="shared" si="0"/>
        <v>5650</v>
      </c>
      <c r="K4" s="12">
        <f t="shared" si="0"/>
        <v>5650</v>
      </c>
      <c r="M4" s="6" t="s">
        <v>115</v>
      </c>
    </row>
    <row r="5" spans="2:13">
      <c r="B5" s="6" t="s">
        <v>37</v>
      </c>
      <c r="C5" s="12">
        <f>SUMIF('BS assumptions'!$B:$B,BS!$B5,'BS assumptions'!C:C)</f>
        <v>45106.400000000001</v>
      </c>
      <c r="D5" s="12">
        <f>SUMIF('BS assumptions'!$B:$B,BS!$B5,'BS assumptions'!D:D)</f>
        <v>49072.4</v>
      </c>
      <c r="E5" s="12">
        <f>SUMIF('BS assumptions'!$B:$B,BS!$B5,'BS assumptions'!E:E)</f>
        <v>56109.2</v>
      </c>
      <c r="F5" s="12">
        <f>SUMIF('BS assumptions'!$B:$B,BS!$B5,'BS assumptions'!F:F)</f>
        <v>0</v>
      </c>
      <c r="G5" s="12">
        <f>SUMIF('BS assumptions'!$B:$B,BS!$B5,'BS assumptions'!G:G)</f>
        <v>56630.854109233122</v>
      </c>
      <c r="H5" s="12">
        <f>SUMIF('BS assumptions'!$B:$B,BS!$B5,'BS assumptions'!H:H)</f>
        <v>58896.08827360245</v>
      </c>
      <c r="I5" s="12">
        <f>SUMIF('BS assumptions'!$B:$B,BS!$B5,'BS assumptions'!I:I)</f>
        <v>61251.931804546555</v>
      </c>
      <c r="J5" s="12">
        <f>SUMIF('BS assumptions'!$B:$B,BS!$B5,'BS assumptions'!J:J)</f>
        <v>63702.009076728427</v>
      </c>
      <c r="K5" s="12">
        <f>SUMIF('BS assumptions'!$B:$B,BS!$B5,'BS assumptions'!K:K)</f>
        <v>66250.089439797564</v>
      </c>
    </row>
    <row r="6" spans="2:13">
      <c r="B6" s="6" t="s">
        <v>46</v>
      </c>
      <c r="C6" s="12">
        <f>'BS source'!D6</f>
        <v>8824</v>
      </c>
      <c r="D6" s="12">
        <f>'BS source'!E6</f>
        <v>9831</v>
      </c>
      <c r="E6" s="12">
        <f>'BS source'!F6</f>
        <v>10323</v>
      </c>
      <c r="G6" s="12">
        <f>$E$6</f>
        <v>10323</v>
      </c>
      <c r="H6" s="12">
        <f t="shared" ref="H6:K6" si="1">$E$6</f>
        <v>10323</v>
      </c>
      <c r="I6" s="12">
        <f t="shared" si="1"/>
        <v>10323</v>
      </c>
      <c r="J6" s="12">
        <f t="shared" si="1"/>
        <v>10323</v>
      </c>
      <c r="K6" s="12">
        <f t="shared" si="1"/>
        <v>10323</v>
      </c>
      <c r="M6" s="6" t="s">
        <v>115</v>
      </c>
    </row>
    <row r="7" spans="2:13" ht="3.75" customHeight="1">
      <c r="C7" s="12"/>
      <c r="D7" s="12"/>
      <c r="E7" s="12"/>
      <c r="G7" s="12"/>
      <c r="H7" s="12"/>
      <c r="I7" s="12"/>
      <c r="J7" s="12"/>
      <c r="K7" s="12"/>
    </row>
    <row r="8" spans="2:13">
      <c r="B8" s="6" t="s">
        <v>29</v>
      </c>
      <c r="C8" s="12">
        <f>SUMIF('BS assumptions'!$B:$B,BS!$B8,'BS assumptions'!C:C)</f>
        <v>31167.200000000001</v>
      </c>
      <c r="D8" s="12">
        <f>SUMIF('BS assumptions'!$B:$B,BS!$B8,'BS assumptions'!D:D)</f>
        <v>36396.800000000003</v>
      </c>
      <c r="E8" s="12">
        <f>SUMIF('BS assumptions'!$B:$B,BS!$B8,'BS assumptions'!E:E)</f>
        <v>46212</v>
      </c>
      <c r="F8" s="12">
        <f>SUMIF('BS assumptions'!$B:$B,BS!$B8,'BS assumptions'!F:F)</f>
        <v>0</v>
      </c>
      <c r="G8" s="12">
        <f>SUMIF('BS assumptions'!$B:$B,BS!$B8,'BS assumptions'!G:G)</f>
        <v>50858.160126750998</v>
      </c>
      <c r="H8" s="12">
        <f>SUMIF('BS assumptions'!$B:$B,BS!$B8,'BS assumptions'!H:H)</f>
        <v>52892.48653182105</v>
      </c>
      <c r="I8" s="12">
        <f>SUMIF('BS assumptions'!$B:$B,BS!$B8,'BS assumptions'!I:I)</f>
        <v>55008.185993093881</v>
      </c>
      <c r="J8" s="12">
        <f>SUMIF('BS assumptions'!$B:$B,BS!$B8,'BS assumptions'!J:J)</f>
        <v>57208.51343281765</v>
      </c>
      <c r="K8" s="12">
        <f>SUMIF('BS assumptions'!$B:$B,BS!$B8,'BS assumptions'!K:K)</f>
        <v>59496.85397013036</v>
      </c>
    </row>
    <row r="9" spans="2:13">
      <c r="B9" s="6" t="s">
        <v>69</v>
      </c>
      <c r="C9" s="12">
        <f>SUMIF('BS assumptions'!$B:$B,BS!$B9,'BS assumptions'!C:C)</f>
        <v>32883.599999999999</v>
      </c>
      <c r="D9" s="12">
        <f>SUMIF('BS assumptions'!$B:$B,BS!$B9,'BS assumptions'!D:D)</f>
        <v>38556</v>
      </c>
      <c r="E9" s="12">
        <f>SUMIF('BS assumptions'!$B:$B,BS!$B9,'BS assumptions'!E:E)</f>
        <v>43581.599999999999</v>
      </c>
      <c r="F9" s="12">
        <f>SUMIF('BS assumptions'!$B:$B,BS!$B9,'BS assumptions'!F:F)</f>
        <v>0</v>
      </c>
      <c r="G9" s="12">
        <f>SUMIF('BS assumptions'!$B:$B,BS!$B9,'BS assumptions'!G:G)</f>
        <v>45324.863999999994</v>
      </c>
      <c r="H9" s="12">
        <f>SUMIF('BS assumptions'!$B:$B,BS!$B9,'BS assumptions'!H:H)</f>
        <v>47137.858560000001</v>
      </c>
      <c r="I9" s="12">
        <f>SUMIF('BS assumptions'!$B:$B,BS!$B9,'BS assumptions'!I:I)</f>
        <v>49023.372902400006</v>
      </c>
      <c r="J9" s="12">
        <f>SUMIF('BS assumptions'!$B:$B,BS!$B9,'BS assumptions'!J:J)</f>
        <v>50984.30781849601</v>
      </c>
      <c r="K9" s="12">
        <f>SUMIF('BS assumptions'!$B:$B,BS!$B9,'BS assumptions'!K:K)</f>
        <v>53023.680131235851</v>
      </c>
    </row>
    <row r="10" spans="2:13">
      <c r="B10" s="6" t="s">
        <v>28</v>
      </c>
      <c r="C10" s="12">
        <f>SUMIF('BS assumptions'!$B:$B,BS!$B10,'BS assumptions'!C:C)</f>
        <v>8841.6</v>
      </c>
      <c r="D10" s="12">
        <f>SUMIF('BS assumptions'!$B:$B,BS!$B10,'BS assumptions'!D:D)</f>
        <v>11359.199999999999</v>
      </c>
      <c r="E10" s="12">
        <f>SUMIF('BS assumptions'!$B:$B,BS!$B10,'BS assumptions'!E:E)</f>
        <v>17602.8</v>
      </c>
      <c r="F10" s="12">
        <f>SUMIF('BS assumptions'!$B:$B,BS!$B10,'BS assumptions'!F:F)</f>
        <v>0</v>
      </c>
      <c r="G10" s="12">
        <f>SUMIF('BS assumptions'!$B:$B,BS!$B10,'BS assumptions'!G:G)</f>
        <v>14056.562930648053</v>
      </c>
      <c r="H10" s="12">
        <f>SUMIF('BS assumptions'!$B:$B,BS!$B10,'BS assumptions'!H:H)</f>
        <v>14618.825447873976</v>
      </c>
      <c r="I10" s="12">
        <f>SUMIF('BS assumptions'!$B:$B,BS!$B10,'BS assumptions'!I:I)</f>
        <v>15203.578465788938</v>
      </c>
      <c r="J10" s="12">
        <f>SUMIF('BS assumptions'!$B:$B,BS!$B10,'BS assumptions'!J:J)</f>
        <v>15811.721604420496</v>
      </c>
      <c r="K10" s="12">
        <f>SUMIF('BS assumptions'!$B:$B,BS!$B10,'BS assumptions'!K:K)</f>
        <v>16444.190468597317</v>
      </c>
    </row>
    <row r="11" spans="2:13" ht="3.75" customHeight="1">
      <c r="C11" s="12"/>
      <c r="D11" s="12"/>
      <c r="E11" s="12"/>
      <c r="G11" s="12"/>
      <c r="H11" s="12"/>
      <c r="I11" s="12"/>
      <c r="J11" s="12"/>
      <c r="K11" s="12"/>
    </row>
    <row r="12" spans="2:13">
      <c r="B12" s="6" t="s">
        <v>30</v>
      </c>
      <c r="C12" s="12">
        <f>'BS source'!D14</f>
        <v>11791.199999999999</v>
      </c>
      <c r="D12" s="12">
        <f>'BS source'!E14</f>
        <v>19408.8</v>
      </c>
      <c r="E12" s="12">
        <f>'BS source'!F14</f>
        <v>8173.6</v>
      </c>
      <c r="G12" s="12">
        <f>E12+'Cash Flow'!G29</f>
        <v>17645.798473053488</v>
      </c>
      <c r="H12" s="12">
        <f>G12+'Cash Flow'!H29</f>
        <v>23353.478924991487</v>
      </c>
      <c r="I12" s="12">
        <f>H12+'Cash Flow'!I29</f>
        <v>29291.928899007034</v>
      </c>
      <c r="J12" s="12">
        <f>I12+'Cash Flow'!J29</f>
        <v>35470.379175983173</v>
      </c>
      <c r="K12" s="12">
        <f>J12+'Cash Flow'!K29</f>
        <v>41898.42976803839</v>
      </c>
    </row>
    <row r="13" spans="2:13" ht="3.75" customHeight="1">
      <c r="G13" s="12"/>
      <c r="H13" s="12"/>
      <c r="I13" s="12"/>
      <c r="J13" s="12"/>
      <c r="K13" s="12"/>
    </row>
    <row r="14" spans="2:13" ht="12.6" thickBot="1">
      <c r="B14" s="40" t="s">
        <v>31</v>
      </c>
      <c r="C14" s="41">
        <f>SUM(C4:C13)</f>
        <v>144575.6</v>
      </c>
      <c r="D14" s="41">
        <f t="shared" ref="D14:K14" si="2">SUM(D4:D13)</f>
        <v>170464.2</v>
      </c>
      <c r="E14" s="41">
        <f t="shared" si="2"/>
        <v>187652.19999999998</v>
      </c>
      <c r="F14" s="41">
        <f t="shared" si="2"/>
        <v>0</v>
      </c>
      <c r="G14" s="41">
        <f t="shared" si="2"/>
        <v>200489.23963968566</v>
      </c>
      <c r="H14" s="41">
        <f t="shared" si="2"/>
        <v>212871.73773828894</v>
      </c>
      <c r="I14" s="41">
        <f t="shared" si="2"/>
        <v>225751.99806483643</v>
      </c>
      <c r="J14" s="41">
        <f t="shared" si="2"/>
        <v>239149.93110844574</v>
      </c>
      <c r="K14" s="41">
        <f t="shared" si="2"/>
        <v>253086.24377779948</v>
      </c>
    </row>
    <row r="15" spans="2:13">
      <c r="C15" s="12"/>
      <c r="D15" s="12"/>
      <c r="E15" s="12"/>
      <c r="F15" s="12"/>
      <c r="G15" s="12"/>
      <c r="H15" s="12"/>
      <c r="I15" s="12"/>
      <c r="J15" s="12"/>
      <c r="K15" s="12"/>
    </row>
    <row r="16" spans="2:13">
      <c r="B16" s="6" t="s">
        <v>38</v>
      </c>
      <c r="C16" s="12">
        <f>SUMIF('BS assumptions'!$B:$B,BS!$B16,'BS assumptions'!C:C)</f>
        <v>15891.2</v>
      </c>
      <c r="D16" s="12">
        <f>SUMIF('BS assumptions'!$B:$B,BS!$B16,'BS assumptions'!D:D)</f>
        <v>26351.599999999999</v>
      </c>
      <c r="E16" s="12">
        <f>SUMIF('BS assumptions'!$B:$B,BS!$B16,'BS assumptions'!E:E)</f>
        <v>36189.599999999999</v>
      </c>
      <c r="F16" s="12">
        <f>SUMIF('BS assumptions'!$B:$B,BS!$B16,'BS assumptions'!F:F)</f>
        <v>0</v>
      </c>
      <c r="G16" s="12">
        <f>SUMIF('BS assumptions'!$B:$B,BS!$B16,'BS assumptions'!G:G)</f>
        <v>39828.106806090793</v>
      </c>
      <c r="H16" s="12">
        <f>SUMIF('BS assumptions'!$B:$B,BS!$B16,'BS assumptions'!H:H)</f>
        <v>41421.231078334436</v>
      </c>
      <c r="I16" s="12">
        <f>SUMIF('BS assumptions'!$B:$B,BS!$B16,'BS assumptions'!I:I)</f>
        <v>43078.080321467816</v>
      </c>
      <c r="J16" s="12">
        <f>SUMIF('BS assumptions'!$B:$B,BS!$B16,'BS assumptions'!J:J)</f>
        <v>44801.203534326523</v>
      </c>
      <c r="K16" s="12">
        <f>SUMIF('BS assumptions'!$B:$B,BS!$B16,'BS assumptions'!K:K)</f>
        <v>46593.25167569959</v>
      </c>
    </row>
    <row r="17" spans="2:13">
      <c r="B17" s="6" t="s">
        <v>39</v>
      </c>
      <c r="C17" s="12">
        <f>SUMIF('BS assumptions'!$B:$B,BS!$B17,'BS assumptions'!C:C)</f>
        <v>5969.0386666666891</v>
      </c>
      <c r="D17" s="12">
        <f>SUMIF('BS assumptions'!$B:$B,BS!$B17,'BS assumptions'!D:D)</f>
        <v>5800.3560000000052</v>
      </c>
      <c r="E17" s="12">
        <f>SUMIF('BS assumptions'!$B:$B,BS!$B17,'BS assumptions'!E:E)</f>
        <v>8473.4464253970418</v>
      </c>
      <c r="F17" s="12">
        <f>SUMIF('BS assumptions'!$B:$B,BS!$B17,'BS assumptions'!F:F)</f>
        <v>0</v>
      </c>
      <c r="G17" s="12">
        <f>SUMIF('BS assumptions'!$B:$B,BS!$B17,'BS assumptions'!G:G)</f>
        <v>7591.9469069919087</v>
      </c>
      <c r="H17" s="12">
        <f>SUMIF('BS assumptions'!$B:$B,BS!$B17,'BS assumptions'!H:H)</f>
        <v>7895.6247832715862</v>
      </c>
      <c r="I17" s="12">
        <f>SUMIF('BS assumptions'!$B:$B,BS!$B17,'BS assumptions'!I:I)</f>
        <v>8211.4497746024499</v>
      </c>
      <c r="J17" s="12">
        <f>SUMIF('BS assumptions'!$B:$B,BS!$B17,'BS assumptions'!J:J)</f>
        <v>8539.9077655865494</v>
      </c>
      <c r="K17" s="12">
        <f>SUMIF('BS assumptions'!$B:$B,BS!$B17,'BS assumptions'!K:K)</f>
        <v>8881.5040762100107</v>
      </c>
    </row>
    <row r="18" spans="2:13" ht="3.75" customHeight="1">
      <c r="C18" s="12"/>
      <c r="D18" s="12"/>
      <c r="E18" s="12"/>
      <c r="F18" s="12"/>
      <c r="G18" s="12"/>
      <c r="H18" s="12"/>
      <c r="I18" s="12"/>
      <c r="J18" s="12"/>
      <c r="K18" s="12"/>
    </row>
    <row r="19" spans="2:13">
      <c r="B19" s="6" t="s">
        <v>76</v>
      </c>
      <c r="C19" s="12">
        <f>SUM('BS source'!J15:J16)</f>
        <v>41293.000000000007</v>
      </c>
      <c r="D19" s="12">
        <f>SUM('BS source'!K15:K16)</f>
        <v>50645.4</v>
      </c>
      <c r="E19" s="12">
        <f>SUM('BS source'!L15:L16)</f>
        <v>51120.799999999996</v>
      </c>
      <c r="F19" s="12"/>
      <c r="G19" s="12">
        <f>$E$19</f>
        <v>51120.799999999996</v>
      </c>
      <c r="H19" s="12">
        <f t="shared" ref="H19:K19" si="3">$E$19</f>
        <v>51120.799999999996</v>
      </c>
      <c r="I19" s="12">
        <f t="shared" si="3"/>
        <v>51120.799999999996</v>
      </c>
      <c r="J19" s="12">
        <f t="shared" si="3"/>
        <v>51120.799999999996</v>
      </c>
      <c r="K19" s="12">
        <f t="shared" si="3"/>
        <v>51120.799999999996</v>
      </c>
      <c r="M19" s="6" t="s">
        <v>115</v>
      </c>
    </row>
    <row r="20" spans="2:13" ht="3.75" customHeight="1">
      <c r="C20" s="12"/>
      <c r="D20" s="12"/>
      <c r="E20" s="12"/>
      <c r="F20" s="12"/>
      <c r="G20" s="12"/>
      <c r="H20" s="12"/>
      <c r="I20" s="12"/>
      <c r="J20" s="12"/>
      <c r="K20" s="12"/>
    </row>
    <row r="21" spans="2:13">
      <c r="B21" s="6" t="s">
        <v>77</v>
      </c>
      <c r="C21" s="12">
        <f>'BS source'!J8</f>
        <v>81422.361333333276</v>
      </c>
      <c r="D21" s="12">
        <f>'BS source'!K8</f>
        <v>87666.844000000026</v>
      </c>
      <c r="E21" s="12">
        <f>'BS source'!L8</f>
        <v>91868.353574602996</v>
      </c>
      <c r="F21" s="12"/>
      <c r="G21" s="12">
        <f>E21+'P&amp;L'!G24</f>
        <v>101948.38592660299</v>
      </c>
      <c r="H21" s="12">
        <f>G21+'P&amp;L'!H24</f>
        <v>112434.08187668298</v>
      </c>
      <c r="I21" s="12">
        <f>H21+'P&amp;L'!I24</f>
        <v>123341.66796876618</v>
      </c>
      <c r="J21" s="12">
        <f>I21+'P&amp;L'!J24</f>
        <v>134688.01980853273</v>
      </c>
      <c r="K21" s="12">
        <f>J21+'P&amp;L'!K24</f>
        <v>146490.68802588992</v>
      </c>
      <c r="M21" s="6" t="s">
        <v>137</v>
      </c>
    </row>
    <row r="22" spans="2:13" ht="3.75" customHeight="1">
      <c r="C22" s="12"/>
      <c r="D22" s="12"/>
      <c r="E22" s="12"/>
      <c r="F22" s="12"/>
      <c r="G22" s="12"/>
      <c r="H22" s="12"/>
      <c r="I22" s="12"/>
      <c r="J22" s="12"/>
      <c r="K22" s="12"/>
    </row>
    <row r="23" spans="2:13" ht="12.6" thickBot="1">
      <c r="B23" s="40" t="s">
        <v>78</v>
      </c>
      <c r="C23" s="41">
        <f>SUM(C16:C22)</f>
        <v>144575.59999999998</v>
      </c>
      <c r="D23" s="41">
        <f t="shared" ref="D23:K23" si="4">SUM(D16:D22)</f>
        <v>170464.2</v>
      </c>
      <c r="E23" s="41">
        <f t="shared" si="4"/>
        <v>187652.2</v>
      </c>
      <c r="F23" s="41">
        <f t="shared" si="4"/>
        <v>0</v>
      </c>
      <c r="G23" s="41">
        <f t="shared" si="4"/>
        <v>200489.23963968569</v>
      </c>
      <c r="H23" s="41">
        <f t="shared" si="4"/>
        <v>212871.737738289</v>
      </c>
      <c r="I23" s="41">
        <f t="shared" si="4"/>
        <v>225751.99806483643</v>
      </c>
      <c r="J23" s="41">
        <f t="shared" si="4"/>
        <v>239149.9311084458</v>
      </c>
      <c r="K23" s="41">
        <f t="shared" si="4"/>
        <v>253086.24377779951</v>
      </c>
    </row>
    <row r="24" spans="2:13">
      <c r="G24" s="12"/>
      <c r="H24" s="12"/>
      <c r="I24" s="12"/>
      <c r="J24" s="12"/>
      <c r="K24" s="12"/>
    </row>
    <row r="25" spans="2:13">
      <c r="B25" s="6" t="s">
        <v>114</v>
      </c>
      <c r="C25" s="6">
        <f>C14-C23</f>
        <v>0</v>
      </c>
      <c r="D25" s="6">
        <f t="shared" ref="D25:K25" si="5">D14-D23</f>
        <v>0</v>
      </c>
      <c r="E25" s="6">
        <f t="shared" si="5"/>
        <v>0</v>
      </c>
      <c r="F25" s="6">
        <f t="shared" si="5"/>
        <v>0</v>
      </c>
      <c r="G25" s="12">
        <f t="shared" si="5"/>
        <v>0</v>
      </c>
      <c r="H25" s="12">
        <f t="shared" si="5"/>
        <v>0</v>
      </c>
      <c r="I25" s="12">
        <f t="shared" si="5"/>
        <v>0</v>
      </c>
      <c r="J25" s="12">
        <f t="shared" si="5"/>
        <v>0</v>
      </c>
      <c r="K25" s="12">
        <f t="shared" si="5"/>
        <v>0</v>
      </c>
    </row>
    <row r="26" spans="2:13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workbookViewId="0">
      <selection activeCell="F4" sqref="F4:F40"/>
    </sheetView>
  </sheetViews>
  <sheetFormatPr defaultColWidth="9.109375" defaultRowHeight="11.4"/>
  <cols>
    <col min="1" max="1" width="2" style="10" customWidth="1"/>
    <col min="2" max="2" width="31.5546875" style="10" bestFit="1" customWidth="1"/>
    <col min="3" max="3" width="9.109375" style="10" customWidth="1"/>
    <col min="4" max="4" width="9.5546875" style="10" bestFit="1" customWidth="1"/>
    <col min="5" max="5" width="9.109375" style="10"/>
    <col min="6" max="6" width="2" style="10" customWidth="1"/>
    <col min="7" max="11" width="9.109375" style="10"/>
    <col min="12" max="12" width="2" style="10" customWidth="1"/>
    <col min="13" max="16384" width="9.109375" style="10"/>
  </cols>
  <sheetData>
    <row r="1" spans="2:13" ht="15.6">
      <c r="B1" s="11" t="s">
        <v>25</v>
      </c>
      <c r="C1" s="11"/>
    </row>
    <row r="2" spans="2:13">
      <c r="B2" s="10" t="s">
        <v>64</v>
      </c>
    </row>
    <row r="3" spans="2:13" ht="24.6" thickBot="1">
      <c r="B3" s="16" t="s">
        <v>47</v>
      </c>
      <c r="C3" s="17"/>
      <c r="D3" s="17" t="s">
        <v>80</v>
      </c>
      <c r="E3" s="17" t="s">
        <v>81</v>
      </c>
      <c r="F3" s="18"/>
      <c r="G3" s="17" t="s">
        <v>82</v>
      </c>
      <c r="H3" s="17" t="s">
        <v>83</v>
      </c>
      <c r="I3" s="17" t="s">
        <v>84</v>
      </c>
      <c r="J3" s="17" t="s">
        <v>85</v>
      </c>
      <c r="K3" s="17" t="s">
        <v>86</v>
      </c>
      <c r="L3" s="6"/>
      <c r="M3" s="19" t="s">
        <v>52</v>
      </c>
    </row>
    <row r="4" spans="2:13">
      <c r="B4" s="10" t="s">
        <v>16</v>
      </c>
      <c r="D4" s="12">
        <f>'P&amp;L'!D15</f>
        <v>16564.136000000017</v>
      </c>
      <c r="E4" s="12">
        <f>'P&amp;L'!E15</f>
        <v>23130.213574602993</v>
      </c>
      <c r="F4" s="12"/>
      <c r="G4" s="12">
        <f>'P&amp;L'!G15</f>
        <v>15587.038399999998</v>
      </c>
      <c r="H4" s="12">
        <f>'P&amp;L'!H15</f>
        <v>16107.119935999985</v>
      </c>
      <c r="I4" s="12">
        <f>'P&amp;L'!I15</f>
        <v>16648.004733440004</v>
      </c>
      <c r="J4" s="12">
        <f>'P&amp;L'!J15</f>
        <v>17210.524922777608</v>
      </c>
      <c r="K4" s="12">
        <f>'P&amp;L'!K15</f>
        <v>17795.54591968871</v>
      </c>
    </row>
    <row r="5" spans="2:13">
      <c r="B5" s="10" t="s">
        <v>116</v>
      </c>
      <c r="D5" s="12">
        <f>D4*D6</f>
        <v>-3740.0277204742101</v>
      </c>
      <c r="E5" s="12">
        <f t="shared" ref="E5:K5" si="0">E4*E6</f>
        <v>-4379.9683364332095</v>
      </c>
      <c r="F5" s="12"/>
      <c r="G5" s="12">
        <f t="shared" si="0"/>
        <v>-3429.1484479999995</v>
      </c>
      <c r="H5" s="12">
        <f t="shared" si="0"/>
        <v>-3543.5663859199967</v>
      </c>
      <c r="I5" s="12">
        <f t="shared" si="0"/>
        <v>-3662.5610413568011</v>
      </c>
      <c r="J5" s="12">
        <f t="shared" si="0"/>
        <v>-3786.3154830110739</v>
      </c>
      <c r="K5" s="12">
        <f t="shared" si="0"/>
        <v>-3915.0201023315162</v>
      </c>
    </row>
    <row r="6" spans="2:13">
      <c r="B6" s="10" t="s">
        <v>117</v>
      </c>
      <c r="D6" s="54">
        <f>'P&amp;L'!D22</f>
        <v>-0.22579069143565389</v>
      </c>
      <c r="E6" s="54">
        <f>'P&amp;L'!E22</f>
        <v>-0.18936134430001206</v>
      </c>
      <c r="F6" s="54"/>
      <c r="G6" s="54">
        <f>'P&amp;L'!G22</f>
        <v>-0.22</v>
      </c>
      <c r="H6" s="54">
        <f>'P&amp;L'!H22</f>
        <v>-0.22</v>
      </c>
      <c r="I6" s="54">
        <f>'P&amp;L'!I22</f>
        <v>-0.22</v>
      </c>
      <c r="J6" s="54">
        <f>'P&amp;L'!J22</f>
        <v>-0.22</v>
      </c>
      <c r="K6" s="54">
        <f>'P&amp;L'!K22</f>
        <v>-0.22</v>
      </c>
    </row>
    <row r="7" spans="2:13" ht="12">
      <c r="B7" s="38" t="s">
        <v>118</v>
      </c>
      <c r="C7" s="38"/>
      <c r="D7" s="39">
        <f>SUM(D4:D5)</f>
        <v>12824.108279525806</v>
      </c>
      <c r="E7" s="39">
        <f t="shared" ref="E7:K7" si="1">SUM(E4:E5)</f>
        <v>18750.245238169784</v>
      </c>
      <c r="F7" s="39"/>
      <c r="G7" s="39">
        <f t="shared" si="1"/>
        <v>12157.889951999998</v>
      </c>
      <c r="H7" s="39">
        <f t="shared" si="1"/>
        <v>12563.553550079989</v>
      </c>
      <c r="I7" s="39">
        <f t="shared" si="1"/>
        <v>12985.443692083203</v>
      </c>
      <c r="J7" s="39">
        <f t="shared" si="1"/>
        <v>13424.209439766533</v>
      </c>
      <c r="K7" s="39">
        <f t="shared" si="1"/>
        <v>13880.525817357193</v>
      </c>
    </row>
    <row r="8" spans="2:13" ht="12">
      <c r="B8" s="20"/>
      <c r="C8" s="20"/>
      <c r="D8" s="28"/>
      <c r="E8" s="28"/>
      <c r="F8" s="12"/>
      <c r="G8" s="12"/>
      <c r="H8" s="12"/>
      <c r="I8" s="12"/>
      <c r="J8" s="12"/>
      <c r="K8" s="12"/>
    </row>
    <row r="9" spans="2:13">
      <c r="B9" s="10" t="s">
        <v>119</v>
      </c>
      <c r="D9" s="12">
        <f>-'P&amp;L'!D14</f>
        <v>4649.8</v>
      </c>
      <c r="E9" s="12">
        <f>-'P&amp;L'!E14</f>
        <v>6430.6600000000008</v>
      </c>
      <c r="F9" s="12"/>
      <c r="G9" s="12">
        <f>-'P&amp;L'!G14</f>
        <v>6501.0191999999997</v>
      </c>
      <c r="H9" s="12">
        <f>-'P&amp;L'!H14</f>
        <v>6761.0599680000005</v>
      </c>
      <c r="I9" s="12">
        <f>-'P&amp;L'!I14</f>
        <v>7031.5023667200012</v>
      </c>
      <c r="J9" s="12">
        <f>-'P&amp;L'!J14</f>
        <v>7312.762461388802</v>
      </c>
      <c r="K9" s="12">
        <f>-'P&amp;L'!K14</f>
        <v>7605.2729598443548</v>
      </c>
    </row>
    <row r="10" spans="2:13" ht="12">
      <c r="B10" s="38" t="s">
        <v>120</v>
      </c>
      <c r="C10" s="38"/>
      <c r="D10" s="39">
        <f>SUM(D7:D9)</f>
        <v>17473.908279525807</v>
      </c>
      <c r="E10" s="39">
        <f t="shared" ref="E10:K10" si="2">SUM(E7:E9)</f>
        <v>25180.905238169784</v>
      </c>
      <c r="F10" s="39"/>
      <c r="G10" s="39">
        <f t="shared" si="2"/>
        <v>18658.909151999997</v>
      </c>
      <c r="H10" s="39">
        <f t="shared" si="2"/>
        <v>19324.61351807999</v>
      </c>
      <c r="I10" s="39">
        <f t="shared" si="2"/>
        <v>20016.946058803205</v>
      </c>
      <c r="J10" s="39">
        <f t="shared" si="2"/>
        <v>20736.971901155335</v>
      </c>
      <c r="K10" s="39">
        <f t="shared" si="2"/>
        <v>21485.798777201548</v>
      </c>
      <c r="M10" s="10" t="s">
        <v>130</v>
      </c>
    </row>
    <row r="11" spans="2:13" ht="12">
      <c r="D11" s="12"/>
      <c r="E11" s="12"/>
      <c r="F11" s="24"/>
      <c r="G11" s="28"/>
      <c r="H11" s="28"/>
      <c r="I11" s="28"/>
      <c r="J11" s="28"/>
      <c r="K11" s="28"/>
    </row>
    <row r="12" spans="2:13">
      <c r="B12" s="10" t="s">
        <v>29</v>
      </c>
      <c r="D12" s="12">
        <f>-(BS!D8-BS!C8)</f>
        <v>-5229.6000000000022</v>
      </c>
      <c r="E12" s="12">
        <f>-(BS!E8-BS!D8)</f>
        <v>-9815.1999999999971</v>
      </c>
      <c r="F12" s="12"/>
      <c r="G12" s="12">
        <f>-(BS!G8-BS!E8)</f>
        <v>-4646.1601267509977</v>
      </c>
      <c r="H12" s="12">
        <f>-(BS!H8-BS!G8)</f>
        <v>-2034.3264050700527</v>
      </c>
      <c r="I12" s="12">
        <f>-(BS!I8-BS!H8)</f>
        <v>-2115.6994612728304</v>
      </c>
      <c r="J12" s="12">
        <f>-(BS!J8-BS!I8)</f>
        <v>-2200.3274397237692</v>
      </c>
      <c r="K12" s="12">
        <f>-(BS!K8-BS!J8)</f>
        <v>-2288.3405373127098</v>
      </c>
    </row>
    <row r="13" spans="2:13">
      <c r="B13" s="10" t="s">
        <v>27</v>
      </c>
      <c r="D13" s="12">
        <f>-(BS!D9-BS!C9)</f>
        <v>-5672.4000000000015</v>
      </c>
      <c r="E13" s="12">
        <f>-(BS!E9-BS!D9)</f>
        <v>-5025.5999999999985</v>
      </c>
      <c r="F13" s="12"/>
      <c r="G13" s="12">
        <f>-(BS!G9-BS!E9)</f>
        <v>-1743.2639999999956</v>
      </c>
      <c r="H13" s="12">
        <f>-(BS!H9-BS!G9)</f>
        <v>-1812.9945600000065</v>
      </c>
      <c r="I13" s="12">
        <f>-(BS!I9-BS!H9)</f>
        <v>-1885.5143424000053</v>
      </c>
      <c r="J13" s="12">
        <f>-(BS!J9-BS!I9)</f>
        <v>-1960.9349160960046</v>
      </c>
      <c r="K13" s="12">
        <f>-(BS!K9-BS!J9)</f>
        <v>-2039.3723127398407</v>
      </c>
    </row>
    <row r="14" spans="2:13">
      <c r="B14" s="10" t="s">
        <v>108</v>
      </c>
      <c r="D14" s="12">
        <f>BS!D16-BS!C16</f>
        <v>10460.399999999998</v>
      </c>
      <c r="E14" s="12">
        <f>BS!E16-BS!D16</f>
        <v>9838</v>
      </c>
      <c r="F14" s="12"/>
      <c r="G14" s="12">
        <f>BS!G16-BS!E16</f>
        <v>3638.5068060907943</v>
      </c>
      <c r="H14" s="12">
        <f>BS!H16-BS!G16</f>
        <v>1593.1242722436436</v>
      </c>
      <c r="I14" s="12">
        <f>BS!I16-BS!H16</f>
        <v>1656.8492431333798</v>
      </c>
      <c r="J14" s="12">
        <f>BS!J16-BS!I16</f>
        <v>1723.1232128587071</v>
      </c>
      <c r="K14" s="12">
        <f>BS!K16-BS!J16</f>
        <v>1792.0481413730668</v>
      </c>
    </row>
    <row r="15" spans="2:13" ht="12">
      <c r="B15" s="38" t="s">
        <v>121</v>
      </c>
      <c r="C15" s="38"/>
      <c r="D15" s="39">
        <f>SUM(D12:D14)</f>
        <v>-441.60000000000582</v>
      </c>
      <c r="E15" s="39">
        <f t="shared" ref="E15:K15" si="3">SUM(E12:E14)</f>
        <v>-5002.7999999999956</v>
      </c>
      <c r="F15" s="39"/>
      <c r="G15" s="39">
        <f t="shared" si="3"/>
        <v>-2750.917320660199</v>
      </c>
      <c r="H15" s="39">
        <f t="shared" si="3"/>
        <v>-2254.1966928264155</v>
      </c>
      <c r="I15" s="39">
        <f t="shared" si="3"/>
        <v>-2344.3645605394559</v>
      </c>
      <c r="J15" s="39">
        <f t="shared" si="3"/>
        <v>-2438.1391429610667</v>
      </c>
      <c r="K15" s="39">
        <f t="shared" si="3"/>
        <v>-2535.6647086794837</v>
      </c>
      <c r="M15" s="10" t="s">
        <v>131</v>
      </c>
    </row>
    <row r="16" spans="2:13" ht="12">
      <c r="B16" s="55" t="s">
        <v>122</v>
      </c>
      <c r="C16" s="55"/>
      <c r="D16" s="28">
        <f>-(BS!D10-BS!C10)+BS!D17-BS!C17</f>
        <v>-2686.2826666666824</v>
      </c>
      <c r="E16" s="28">
        <f>-(BS!E10-BS!D10)+BS!E17-BS!D17</f>
        <v>-3570.5095746029638</v>
      </c>
      <c r="F16" s="28"/>
      <c r="G16" s="28">
        <f>-(BS!G10-BS!E10)+BS!G17-BS!E17</f>
        <v>2664.7375509468129</v>
      </c>
      <c r="H16" s="28">
        <f>-(BS!H10-BS!G10)+BS!H17-BS!G17</f>
        <v>-258.5846409462456</v>
      </c>
      <c r="I16" s="28">
        <f>-(BS!I10-BS!H10)+BS!I17-BS!H17</f>
        <v>-268.92802658409801</v>
      </c>
      <c r="J16" s="28">
        <f>-(BS!J10-BS!I10)+BS!J17-BS!I17</f>
        <v>-279.68514764745851</v>
      </c>
      <c r="K16" s="28">
        <f>-(BS!K10-BS!J10)+BS!K17-BS!J17</f>
        <v>-290.87255355335947</v>
      </c>
      <c r="M16" s="10" t="s">
        <v>132</v>
      </c>
    </row>
    <row r="17" spans="2:13" ht="12">
      <c r="B17" s="55"/>
      <c r="C17" s="55"/>
      <c r="D17" s="28"/>
      <c r="E17" s="28"/>
      <c r="F17" s="12"/>
      <c r="G17" s="28"/>
      <c r="H17" s="28"/>
      <c r="I17" s="28"/>
      <c r="J17" s="28"/>
      <c r="K17" s="28"/>
    </row>
    <row r="18" spans="2:13" ht="12">
      <c r="B18" s="55" t="s">
        <v>123</v>
      </c>
      <c r="C18" s="55"/>
      <c r="D18" s="28">
        <f>-(BS!D5-BS!C5)+'P&amp;L'!D14</f>
        <v>-8615.7999999999993</v>
      </c>
      <c r="E18" s="28">
        <f>-(BS!E5-BS!D5)+'P&amp;L'!E14</f>
        <v>-13467.459999999995</v>
      </c>
      <c r="F18" s="28"/>
      <c r="G18" s="28">
        <f>-(BS!G5-BS!E5)+'P&amp;L'!G14</f>
        <v>-7022.6733092331242</v>
      </c>
      <c r="H18" s="28">
        <f>-(BS!H5-BS!G5)+'P&amp;L'!H14</f>
        <v>-9026.2941323693303</v>
      </c>
      <c r="I18" s="28">
        <f>-(BS!I5-BS!H5)+'P&amp;L'!I14</f>
        <v>-9387.345897664105</v>
      </c>
      <c r="J18" s="28">
        <f>-(BS!J5-BS!I5)+'P&amp;L'!J14</f>
        <v>-9762.8397335706741</v>
      </c>
      <c r="K18" s="28">
        <f>-(BS!K5-BS!J5)+'P&amp;L'!K14</f>
        <v>-10153.353322913492</v>
      </c>
      <c r="M18" s="10" t="s">
        <v>133</v>
      </c>
    </row>
    <row r="19" spans="2:13" ht="12">
      <c r="B19" s="55" t="s">
        <v>124</v>
      </c>
      <c r="C19" s="55"/>
      <c r="D19" s="28">
        <f>-(BS!D4-BS!C4)-(BS!D6-BS!C6)</f>
        <v>-885.39999999999964</v>
      </c>
      <c r="E19" s="28">
        <f>-(BS!E4-BS!D4)-(BS!E6-BS!D6)</f>
        <v>-302</v>
      </c>
      <c r="F19" s="28"/>
      <c r="G19" s="28">
        <f>-(BS!G4-BS!E4)-(BS!G6-BS!E6)</f>
        <v>0</v>
      </c>
      <c r="H19" s="28">
        <f>-(BS!H4-BS!G4)-(BS!H6-BS!G6)</f>
        <v>0</v>
      </c>
      <c r="I19" s="28">
        <f>-(BS!I4-BS!H4)-(BS!I6-BS!H6)</f>
        <v>0</v>
      </c>
      <c r="J19" s="28">
        <f>-(BS!J4-BS!I4)-(BS!J6-BS!I6)</f>
        <v>0</v>
      </c>
      <c r="K19" s="28">
        <f>-(BS!K4-BS!J4)-(BS!K6-BS!J6)</f>
        <v>0</v>
      </c>
      <c r="M19" s="10" t="s">
        <v>134</v>
      </c>
    </row>
    <row r="20" spans="2:13">
      <c r="D20" s="12"/>
      <c r="E20" s="12"/>
      <c r="F20" s="12"/>
      <c r="G20" s="12"/>
      <c r="H20" s="12"/>
      <c r="I20" s="12"/>
      <c r="J20" s="12"/>
      <c r="K20" s="12"/>
    </row>
    <row r="21" spans="2:13" ht="12">
      <c r="B21" s="55" t="s">
        <v>73</v>
      </c>
      <c r="C21" s="57"/>
      <c r="D21" s="28">
        <f>'P&amp;L'!D18</f>
        <v>-864.30000000000007</v>
      </c>
      <c r="E21" s="28">
        <f>'P&amp;L'!E18</f>
        <v>-320.26</v>
      </c>
      <c r="F21" s="28"/>
      <c r="G21" s="28">
        <f>'P&amp;L'!G18</f>
        <v>0</v>
      </c>
      <c r="H21" s="28">
        <f>'P&amp;L'!H18</f>
        <v>0</v>
      </c>
      <c r="I21" s="28">
        <f>'P&amp;L'!I18</f>
        <v>0</v>
      </c>
      <c r="J21" s="28">
        <f>'P&amp;L'!J18</f>
        <v>0</v>
      </c>
      <c r="K21" s="28">
        <f>'P&amp;L'!K18</f>
        <v>0</v>
      </c>
      <c r="M21" s="10" t="s">
        <v>135</v>
      </c>
    </row>
    <row r="22" spans="2:13" ht="12">
      <c r="D22" s="12"/>
      <c r="E22" s="12"/>
      <c r="F22" s="12"/>
      <c r="G22" s="28"/>
      <c r="H22" s="28"/>
      <c r="I22" s="28"/>
      <c r="J22" s="28"/>
      <c r="K22" s="28"/>
    </row>
    <row r="23" spans="2:13" ht="12">
      <c r="B23" s="36" t="s">
        <v>125</v>
      </c>
      <c r="C23" s="36"/>
      <c r="D23" s="37">
        <f>SUM(D10,D15:D21)</f>
        <v>3980.52561285912</v>
      </c>
      <c r="E23" s="37">
        <f t="shared" ref="E23:K23" si="4">SUM(E10,E15:E21)</f>
        <v>2517.8756635668306</v>
      </c>
      <c r="F23" s="37"/>
      <c r="G23" s="37">
        <f t="shared" si="4"/>
        <v>11550.056073053489</v>
      </c>
      <c r="H23" s="37">
        <f t="shared" si="4"/>
        <v>7785.5380519379978</v>
      </c>
      <c r="I23" s="37">
        <f t="shared" si="4"/>
        <v>8016.3075740155473</v>
      </c>
      <c r="J23" s="37">
        <f t="shared" si="4"/>
        <v>8256.307876976136</v>
      </c>
      <c r="K23" s="37">
        <f t="shared" si="4"/>
        <v>8505.9081920552126</v>
      </c>
      <c r="M23" s="10" t="s">
        <v>136</v>
      </c>
    </row>
    <row r="24" spans="2:13">
      <c r="B24" s="58"/>
      <c r="D24" s="12"/>
      <c r="E24" s="12"/>
      <c r="F24" s="12"/>
      <c r="G24" s="12"/>
      <c r="H24" s="12"/>
      <c r="I24" s="12"/>
      <c r="J24" s="12"/>
      <c r="K24" s="12"/>
    </row>
    <row r="25" spans="2:13" ht="12">
      <c r="B25" s="59" t="s">
        <v>72</v>
      </c>
      <c r="C25" s="56"/>
      <c r="D25" s="61">
        <f>'P&amp;L'!D17</f>
        <v>-2190.9</v>
      </c>
      <c r="E25" s="61">
        <f>'P&amp;L'!E17</f>
        <v>-2663.92</v>
      </c>
      <c r="F25" s="61"/>
      <c r="G25" s="61">
        <f>'P&amp;L'!G17</f>
        <v>-2663.92</v>
      </c>
      <c r="H25" s="61">
        <f>'P&amp;L'!H17</f>
        <v>-2663.92</v>
      </c>
      <c r="I25" s="61">
        <f>'P&amp;L'!I17</f>
        <v>-2663.92</v>
      </c>
      <c r="J25" s="61">
        <f>'P&amp;L'!J17</f>
        <v>-2663.92</v>
      </c>
      <c r="K25" s="61">
        <f>'P&amp;L'!K17</f>
        <v>-2663.92</v>
      </c>
    </row>
    <row r="26" spans="2:13">
      <c r="B26" s="59" t="s">
        <v>126</v>
      </c>
      <c r="D26" s="61">
        <f>'P&amp;L'!D21-'Cash Flow'!D5</f>
        <v>689.83572047421012</v>
      </c>
      <c r="E26" s="61">
        <f>'P&amp;L'!E21-'Cash Flow'!E5</f>
        <v>565.08833643320941</v>
      </c>
      <c r="F26" s="61"/>
      <c r="G26" s="61">
        <f>'P&amp;L'!G21-'Cash Flow'!G5</f>
        <v>586.0623999999998</v>
      </c>
      <c r="H26" s="61">
        <f>'P&amp;L'!H21-'Cash Flow'!H5</f>
        <v>586.06240000000025</v>
      </c>
      <c r="I26" s="61">
        <f>'P&amp;L'!I21-'Cash Flow'!I5</f>
        <v>586.06240000000025</v>
      </c>
      <c r="J26" s="61">
        <f>'P&amp;L'!J21-'Cash Flow'!J5</f>
        <v>586.06240000000025</v>
      </c>
      <c r="K26" s="61">
        <f>'P&amp;L'!K21-'Cash Flow'!K5</f>
        <v>586.06240000000025</v>
      </c>
    </row>
    <row r="27" spans="2:13">
      <c r="B27" s="59" t="s">
        <v>127</v>
      </c>
      <c r="C27" s="60"/>
      <c r="D27" s="62">
        <f>BS!D19-BS!C19</f>
        <v>9352.3999999999942</v>
      </c>
      <c r="E27" s="62">
        <f>BS!E19-BS!D19</f>
        <v>475.39999999999418</v>
      </c>
      <c r="F27" s="62"/>
      <c r="G27" s="62">
        <f>BS!G19-BS!E19</f>
        <v>0</v>
      </c>
      <c r="H27" s="62">
        <f>BS!H19-BS!G19</f>
        <v>0</v>
      </c>
      <c r="I27" s="62">
        <f>BS!I19-BS!H19</f>
        <v>0</v>
      </c>
      <c r="J27" s="62">
        <f>BS!J19-BS!I19</f>
        <v>0</v>
      </c>
      <c r="K27" s="62">
        <f>BS!K19-BS!J19</f>
        <v>0</v>
      </c>
    </row>
    <row r="28" spans="2:13">
      <c r="B28" s="59" t="s">
        <v>128</v>
      </c>
      <c r="C28" s="60"/>
      <c r="D28" s="62">
        <f>BS!D21-BS!C21-'P&amp;L'!D24</f>
        <v>-4214.2613333332665</v>
      </c>
      <c r="E28" s="62">
        <f>BS!E21-BS!D21-'P&amp;L'!E24</f>
        <v>-12129.644000000022</v>
      </c>
      <c r="F28" s="62"/>
      <c r="G28" s="62">
        <f>BS!G21-BS!E21-'P&amp;L'!G24</f>
        <v>0</v>
      </c>
      <c r="H28" s="62">
        <f>BS!H21-BS!G21-'P&amp;L'!H24</f>
        <v>0</v>
      </c>
      <c r="I28" s="62">
        <f>BS!I21-BS!H21-'P&amp;L'!I24</f>
        <v>0</v>
      </c>
      <c r="J28" s="62">
        <f>BS!J21-BS!I21-'P&amp;L'!J24</f>
        <v>0</v>
      </c>
      <c r="K28" s="62">
        <f>BS!K21-BS!J21-'P&amp;L'!K24</f>
        <v>0</v>
      </c>
    </row>
    <row r="29" spans="2:13" ht="12">
      <c r="B29" s="36" t="s">
        <v>129</v>
      </c>
      <c r="C29" s="36"/>
      <c r="D29" s="37">
        <f>SUM(D23:D28)</f>
        <v>7617.6000000000568</v>
      </c>
      <c r="E29" s="37">
        <f t="shared" ref="E29:K29" si="5">SUM(E23:E28)</f>
        <v>-11235.199999999988</v>
      </c>
      <c r="F29" s="37"/>
      <c r="G29" s="37">
        <f t="shared" si="5"/>
        <v>9472.1984730534896</v>
      </c>
      <c r="H29" s="37">
        <f t="shared" si="5"/>
        <v>5707.6804519379984</v>
      </c>
      <c r="I29" s="37">
        <f t="shared" si="5"/>
        <v>5938.4499740155479</v>
      </c>
      <c r="J29" s="37">
        <f t="shared" si="5"/>
        <v>6178.4502769761366</v>
      </c>
      <c r="K29" s="37">
        <f t="shared" si="5"/>
        <v>6428.0505920552132</v>
      </c>
    </row>
    <row r="31" spans="2:13">
      <c r="B31" s="10" t="s">
        <v>138</v>
      </c>
      <c r="D31" s="10">
        <f>BS!C12</f>
        <v>11791.199999999999</v>
      </c>
      <c r="E31" s="10">
        <f>D32</f>
        <v>19408.800000000054</v>
      </c>
      <c r="G31" s="10">
        <f>E32</f>
        <v>8173.6000000000658</v>
      </c>
      <c r="H31" s="10">
        <f>G32</f>
        <v>17645.798473053554</v>
      </c>
      <c r="I31" s="10">
        <f t="shared" ref="I31:K31" si="6">H32</f>
        <v>23353.478924991552</v>
      </c>
      <c r="J31" s="10">
        <f t="shared" si="6"/>
        <v>29291.9288990071</v>
      </c>
      <c r="K31" s="10">
        <f t="shared" si="6"/>
        <v>35470.379175983238</v>
      </c>
    </row>
    <row r="32" spans="2:13">
      <c r="B32" s="10" t="s">
        <v>139</v>
      </c>
      <c r="D32" s="10">
        <f>D29+D31</f>
        <v>19408.800000000054</v>
      </c>
      <c r="E32" s="10">
        <f t="shared" ref="E32:K32" si="7">E29+E31</f>
        <v>8173.6000000000658</v>
      </c>
      <c r="G32" s="10">
        <f t="shared" si="7"/>
        <v>17645.798473053554</v>
      </c>
      <c r="H32" s="10">
        <f t="shared" si="7"/>
        <v>23353.478924991552</v>
      </c>
      <c r="I32" s="10">
        <f t="shared" si="7"/>
        <v>29291.9288990071</v>
      </c>
      <c r="J32" s="10">
        <f t="shared" si="7"/>
        <v>35470.379175983238</v>
      </c>
      <c r="K32" s="10">
        <f t="shared" si="7"/>
        <v>41898.429768038448</v>
      </c>
    </row>
    <row r="34" spans="2:11">
      <c r="B34" s="10" t="s">
        <v>114</v>
      </c>
      <c r="D34" s="10">
        <f>BS!D12</f>
        <v>19408.8</v>
      </c>
      <c r="E34" s="10">
        <f>BS!E12</f>
        <v>8173.6</v>
      </c>
      <c r="G34" s="10">
        <f>BS!G12</f>
        <v>17645.798473053488</v>
      </c>
      <c r="H34" s="10">
        <f>BS!H12</f>
        <v>23353.478924991487</v>
      </c>
      <c r="I34" s="10">
        <f>BS!I12</f>
        <v>29291.928899007034</v>
      </c>
      <c r="J34" s="10">
        <f>BS!J12</f>
        <v>35470.379175983173</v>
      </c>
      <c r="K34" s="10">
        <f>BS!K12</f>
        <v>41898.42976803839</v>
      </c>
    </row>
    <row r="35" spans="2:11">
      <c r="D35" s="12">
        <f>D32-D34</f>
        <v>5.4569682106375694E-11</v>
      </c>
      <c r="E35" s="12">
        <f t="shared" ref="E35:K35" si="8">E32-E34</f>
        <v>6.5483618527650833E-11</v>
      </c>
      <c r="F35" s="12"/>
      <c r="G35" s="12">
        <f t="shared" si="8"/>
        <v>6.5483618527650833E-11</v>
      </c>
      <c r="H35" s="12">
        <f t="shared" si="8"/>
        <v>6.5483618527650833E-11</v>
      </c>
      <c r="I35" s="12">
        <f t="shared" si="8"/>
        <v>6.5483618527650833E-11</v>
      </c>
      <c r="J35" s="12">
        <f t="shared" si="8"/>
        <v>6.5483618527650833E-11</v>
      </c>
      <c r="K35" s="10">
        <f t="shared" si="8"/>
        <v>5.8207660913467407E-11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6"/>
  <sheetViews>
    <sheetView zoomScale="79" workbookViewId="0">
      <selection activeCell="E24" sqref="E24"/>
    </sheetView>
  </sheetViews>
  <sheetFormatPr defaultColWidth="9.109375" defaultRowHeight="11.4"/>
  <cols>
    <col min="1" max="1" width="2" style="6" customWidth="1"/>
    <col min="2" max="2" width="19.6640625" style="6" bestFit="1" customWidth="1"/>
    <col min="3" max="3" width="11.77734375" style="6" bestFit="1" customWidth="1"/>
    <col min="4" max="5" width="6.21875" style="6" bestFit="1" customWidth="1"/>
    <col min="6" max="6" width="7.109375" style="6" bestFit="1" customWidth="1"/>
    <col min="7" max="7" width="8.5546875" style="6" bestFit="1" customWidth="1"/>
    <col min="8" max="11" width="10" style="6" bestFit="1" customWidth="1"/>
    <col min="12" max="12" width="2" style="6" customWidth="1"/>
    <col min="13" max="13" width="4.5546875" style="6" bestFit="1" customWidth="1"/>
    <col min="14" max="16384" width="9.109375" style="6"/>
  </cols>
  <sheetData>
    <row r="1" spans="2:13" ht="15.6">
      <c r="B1" s="5" t="s">
        <v>4</v>
      </c>
    </row>
    <row r="2" spans="2:13" ht="15.6">
      <c r="B2" s="5"/>
    </row>
    <row r="3" spans="2:13" ht="15.6">
      <c r="B3" s="5"/>
    </row>
    <row r="4" spans="2:13" ht="15.6">
      <c r="B4" s="5" t="s">
        <v>140</v>
      </c>
      <c r="C4" s="63">
        <v>0.1</v>
      </c>
    </row>
    <row r="5" spans="2:13" ht="15.6">
      <c r="B5" s="5" t="s">
        <v>141</v>
      </c>
      <c r="C5" s="63">
        <v>0.02</v>
      </c>
    </row>
    <row r="6" spans="2:13">
      <c r="G6" s="6">
        <v>1</v>
      </c>
      <c r="H6" s="6">
        <v>2</v>
      </c>
      <c r="I6" s="6">
        <v>3</v>
      </c>
      <c r="J6" s="6">
        <v>4</v>
      </c>
      <c r="K6" s="6">
        <v>5</v>
      </c>
    </row>
    <row r="7" spans="2:13" ht="24.6" thickBot="1">
      <c r="B7" s="16" t="s">
        <v>47</v>
      </c>
      <c r="C7" s="17" t="s">
        <v>79</v>
      </c>
      <c r="D7" s="17" t="s">
        <v>80</v>
      </c>
      <c r="E7" s="17" t="s">
        <v>81</v>
      </c>
      <c r="F7" s="18"/>
      <c r="G7" s="17" t="s">
        <v>82</v>
      </c>
      <c r="H7" s="17" t="s">
        <v>83</v>
      </c>
      <c r="I7" s="17" t="s">
        <v>84</v>
      </c>
      <c r="J7" s="17" t="s">
        <v>85</v>
      </c>
      <c r="K7" s="17" t="s">
        <v>86</v>
      </c>
      <c r="M7" s="19" t="s">
        <v>52</v>
      </c>
    </row>
    <row r="8" spans="2:13">
      <c r="B8" s="6" t="s">
        <v>125</v>
      </c>
      <c r="D8" s="12">
        <f>'Cash Flow'!D23</f>
        <v>3980.52561285912</v>
      </c>
      <c r="E8" s="12">
        <f>'Cash Flow'!E23</f>
        <v>2517.8756635668306</v>
      </c>
      <c r="F8" s="12"/>
      <c r="G8" s="12">
        <f>'Cash Flow'!G23</f>
        <v>11550.056073053489</v>
      </c>
      <c r="H8" s="12">
        <f>'Cash Flow'!H23</f>
        <v>7785.5380519379978</v>
      </c>
      <c r="I8" s="12">
        <f>'Cash Flow'!I23</f>
        <v>8016.3075740155473</v>
      </c>
      <c r="J8" s="12">
        <f>'Cash Flow'!J23</f>
        <v>8256.307876976136</v>
      </c>
      <c r="K8" s="12">
        <f>'Cash Flow'!K23</f>
        <v>8505.9081920552126</v>
      </c>
    </row>
    <row r="9" spans="2:13">
      <c r="B9" s="6" t="s">
        <v>142</v>
      </c>
      <c r="G9" s="35">
        <f>1/(1+$C$4)^G6</f>
        <v>0.90909090909090906</v>
      </c>
      <c r="H9" s="35">
        <f t="shared" ref="H9:K9" si="0">1/(1+$C$4)^H6</f>
        <v>0.82644628099173545</v>
      </c>
      <c r="I9" s="35">
        <f t="shared" si="0"/>
        <v>0.75131480090157754</v>
      </c>
      <c r="J9" s="35">
        <f t="shared" si="0"/>
        <v>0.68301345536507052</v>
      </c>
      <c r="K9" s="35">
        <f t="shared" si="0"/>
        <v>0.62092132305915493</v>
      </c>
    </row>
    <row r="10" spans="2:13" ht="12">
      <c r="B10" s="38" t="s">
        <v>143</v>
      </c>
      <c r="C10" s="64"/>
      <c r="D10" s="64"/>
      <c r="E10" s="64"/>
      <c r="F10" s="64"/>
      <c r="G10" s="39">
        <f>G8*G9</f>
        <v>10500.050975503171</v>
      </c>
      <c r="H10" s="39">
        <f t="shared" ref="H10:K10" si="1">H8*H9</f>
        <v>6434.3289685437994</v>
      </c>
      <c r="I10" s="39">
        <f t="shared" si="1"/>
        <v>6022.7705289372989</v>
      </c>
      <c r="J10" s="39">
        <f t="shared" si="1"/>
        <v>5639.1693716113205</v>
      </c>
      <c r="K10" s="39">
        <f t="shared" si="1"/>
        <v>5281.4997684306272</v>
      </c>
    </row>
    <row r="14" spans="2:13">
      <c r="B14" s="65" t="s">
        <v>4</v>
      </c>
      <c r="C14" s="65"/>
      <c r="D14" s="65"/>
      <c r="E14" s="65"/>
      <c r="F14" s="65"/>
      <c r="G14" s="65"/>
      <c r="H14" s="65"/>
      <c r="I14" s="65"/>
      <c r="J14" s="65"/>
      <c r="K14" s="65"/>
    </row>
    <row r="15" spans="2:13">
      <c r="B15" s="6" t="s">
        <v>144</v>
      </c>
      <c r="C15" s="66">
        <f>SUM(G10:K10)</f>
        <v>33877.819613026222</v>
      </c>
      <c r="E15" s="21">
        <f>C15/C$18</f>
        <v>0.33470503116615585</v>
      </c>
    </row>
    <row r="16" spans="2:13">
      <c r="B16" s="6" t="s">
        <v>145</v>
      </c>
      <c r="C16" s="66">
        <f>K8*(1+C5)/(C4-C5)</f>
        <v>108450.32944870395</v>
      </c>
    </row>
    <row r="17" spans="2:11">
      <c r="B17" s="6" t="s">
        <v>146</v>
      </c>
      <c r="C17" s="66">
        <f>C16*K9</f>
        <v>67339.122047490484</v>
      </c>
      <c r="E17" s="21">
        <f>C17/C$18</f>
        <v>0.6652949688338442</v>
      </c>
    </row>
    <row r="18" spans="2:11" ht="12">
      <c r="B18" s="26" t="s">
        <v>147</v>
      </c>
      <c r="C18" s="67">
        <f>C15+C17</f>
        <v>101216.94166051671</v>
      </c>
    </row>
    <row r="19" spans="2:11">
      <c r="B19" s="6" t="s">
        <v>149</v>
      </c>
      <c r="C19" s="66">
        <f>-BS!E19</f>
        <v>-51120.799999999996</v>
      </c>
    </row>
    <row r="20" spans="2:11">
      <c r="B20" s="6" t="s">
        <v>148</v>
      </c>
      <c r="C20" s="66">
        <f>BS!E12</f>
        <v>8173.6</v>
      </c>
    </row>
    <row r="21" spans="2:11" ht="12">
      <c r="B21" s="26" t="s">
        <v>150</v>
      </c>
      <c r="C21" s="67">
        <f>SUM(C18:C20)</f>
        <v>58269.741660516709</v>
      </c>
      <c r="H21" s="68" t="s">
        <v>151</v>
      </c>
      <c r="I21" s="68"/>
      <c r="J21" s="68"/>
      <c r="K21" s="68"/>
    </row>
    <row r="22" spans="2:11" ht="12">
      <c r="G22" s="69">
        <f>C18</f>
        <v>101216.94166051671</v>
      </c>
      <c r="H22" s="70">
        <v>0.09</v>
      </c>
      <c r="I22" s="70">
        <v>0.1</v>
      </c>
      <c r="J22" s="70">
        <v>0.11</v>
      </c>
      <c r="K22" s="70">
        <v>0.12</v>
      </c>
    </row>
    <row r="23" spans="2:11" ht="12">
      <c r="G23" s="71">
        <v>0.01</v>
      </c>
      <c r="H23" s="49">
        <f t="dataTable" ref="H23:K26" dt2D="1" dtr="1" r1="C4" r2="C5"/>
        <v>104510.84784186239</v>
      </c>
      <c r="I23" s="49">
        <v>93147.983680969919</v>
      </c>
      <c r="J23" s="49">
        <v>84055.565891521779</v>
      </c>
      <c r="K23" s="49">
        <v>76614.364999246201</v>
      </c>
    </row>
    <row r="24" spans="2:11" ht="12">
      <c r="G24" s="71">
        <v>0.02</v>
      </c>
      <c r="H24" s="49">
        <v>115271.20463875149</v>
      </c>
      <c r="I24" s="49">
        <v>101216.94166051671</v>
      </c>
      <c r="J24" s="49">
        <v>90281.238324122314</v>
      </c>
      <c r="K24" s="49">
        <v>81528.599934976053</v>
      </c>
    </row>
    <row r="25" spans="2:11" ht="12">
      <c r="G25" s="71">
        <v>0.03</v>
      </c>
      <c r="H25" s="49">
        <v>129618.34703460362</v>
      </c>
      <c r="I25" s="49">
        <v>111591.31620564831</v>
      </c>
      <c r="J25" s="49">
        <v>98063.328864872965</v>
      </c>
      <c r="K25" s="49">
        <v>87534.887078645872</v>
      </c>
    </row>
    <row r="26" spans="2:11" ht="12">
      <c r="G26" s="71">
        <v>0.04</v>
      </c>
      <c r="H26" s="49">
        <v>149704.34638879661</v>
      </c>
      <c r="I26" s="49">
        <v>125423.8155991571</v>
      </c>
      <c r="J26" s="49">
        <v>108068.87384583808</v>
      </c>
      <c r="K26" s="49">
        <v>95042.746008233167</v>
      </c>
    </row>
  </sheetData>
  <mergeCells count="2">
    <mergeCell ref="B14:K14"/>
    <mergeCell ref="H21:K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5" ht="15.6">
      <c r="B1" s="2"/>
    </row>
    <row r="11" spans="2:5" ht="50.4">
      <c r="B11" s="42" t="s">
        <v>61</v>
      </c>
      <c r="C11" s="43"/>
      <c r="D11" s="43"/>
      <c r="E11" s="4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P20"/>
  <sheetViews>
    <sheetView workbookViewId="0">
      <selection activeCell="K30" sqref="K30"/>
    </sheetView>
  </sheetViews>
  <sheetFormatPr defaultColWidth="9.109375" defaultRowHeight="11.4"/>
  <cols>
    <col min="1" max="1" width="2" style="1" customWidth="1"/>
    <col min="2" max="2" width="24.109375" style="1" bestFit="1" customWidth="1"/>
    <col min="3" max="5" width="9.109375" style="1"/>
    <col min="6" max="6" width="2" style="1" customWidth="1"/>
    <col min="7" max="16384" width="9.109375" style="1"/>
  </cols>
  <sheetData>
    <row r="1" spans="2:11" ht="15.6">
      <c r="B1" s="2" t="s">
        <v>54</v>
      </c>
    </row>
    <row r="3" spans="2:11" ht="24.6" thickBot="1">
      <c r="B3" s="16" t="s">
        <v>47</v>
      </c>
      <c r="C3" s="17" t="s">
        <v>79</v>
      </c>
      <c r="D3" s="17" t="s">
        <v>80</v>
      </c>
      <c r="E3" s="17" t="s">
        <v>81</v>
      </c>
      <c r="F3" s="18"/>
      <c r="G3" s="17" t="s">
        <v>82</v>
      </c>
      <c r="H3" s="17" t="s">
        <v>83</v>
      </c>
      <c r="I3" s="17" t="s">
        <v>84</v>
      </c>
      <c r="J3" s="17" t="s">
        <v>85</v>
      </c>
      <c r="K3" s="17" t="s">
        <v>86</v>
      </c>
    </row>
    <row r="4" spans="2:11">
      <c r="B4" s="6" t="s">
        <v>65</v>
      </c>
      <c r="C4" s="12">
        <f>SUMIF('P&amp;L assumptions'!$B:$B,'P&amp;L'!$B4,'P&amp;L assumptions'!C:C)</f>
        <v>177203</v>
      </c>
      <c r="D4" s="12">
        <f>SUMIF('P&amp;L assumptions'!$B:$B,'P&amp;L'!$B4,'P&amp;L assumptions'!D:D)</f>
        <v>188618</v>
      </c>
      <c r="E4" s="12">
        <f>SUMIF('P&amp;L assumptions'!$B:$B,'P&amp;L'!$B4,'P&amp;L assumptions'!E:E)</f>
        <v>208366</v>
      </c>
      <c r="F4" s="49"/>
      <c r="G4" s="12">
        <f>SUMIF('P&amp;L assumptions'!$B:$B,'P&amp;L'!$B4,'P&amp;L assumptions'!G:G)</f>
        <v>216700.64</v>
      </c>
      <c r="H4" s="12">
        <f>SUMIF('P&amp;L assumptions'!$B:$B,'P&amp;L'!$B4,'P&amp;L assumptions'!H:H)</f>
        <v>225368.66560000004</v>
      </c>
      <c r="I4" s="12">
        <f>SUMIF('P&amp;L assumptions'!$B:$B,'P&amp;L'!$B4,'P&amp;L assumptions'!I:I)</f>
        <v>234383.41222400006</v>
      </c>
      <c r="J4" s="12">
        <f>SUMIF('P&amp;L assumptions'!$B:$B,'P&amp;L'!$B4,'P&amp;L assumptions'!J:J)</f>
        <v>243758.74871296008</v>
      </c>
      <c r="K4" s="12">
        <f>SUMIF('P&amp;L assumptions'!$B:$B,'P&amp;L'!$B4,'P&amp;L assumptions'!K:K)</f>
        <v>253509.09866147849</v>
      </c>
    </row>
    <row r="5" spans="2:11">
      <c r="B5" s="1" t="s">
        <v>14</v>
      </c>
      <c r="C5" s="12">
        <f>'P&amp;L'!C12</f>
        <v>20317.317333333289</v>
      </c>
      <c r="D5" s="12">
        <f>'P&amp;L'!D12</f>
        <v>21213.936000000016</v>
      </c>
      <c r="E5" s="12">
        <f>'P&amp;L'!E12</f>
        <v>29560.873574602992</v>
      </c>
      <c r="F5" s="12"/>
      <c r="G5" s="12">
        <f>'P&amp;L'!G12</f>
        <v>22088.057599999996</v>
      </c>
      <c r="H5" s="12">
        <f>'P&amp;L'!H12</f>
        <v>22868.179903999986</v>
      </c>
      <c r="I5" s="12">
        <f>'P&amp;L'!I12</f>
        <v>23679.507100160004</v>
      </c>
      <c r="J5" s="12">
        <f>'P&amp;L'!J12</f>
        <v>24523.287384166408</v>
      </c>
      <c r="K5" s="12">
        <f>'P&amp;L'!K12</f>
        <v>25400.818879533064</v>
      </c>
    </row>
    <row r="6" spans="2:11">
      <c r="B6" s="1" t="s">
        <v>152</v>
      </c>
      <c r="C6" s="22">
        <f>C5/C4</f>
        <v>0.11465560590584409</v>
      </c>
      <c r="D6" s="22">
        <f t="shared" ref="D6:K6" si="0">D5/D4</f>
        <v>0.11247036868167416</v>
      </c>
      <c r="E6" s="22">
        <f t="shared" si="0"/>
        <v>0.14186994795025576</v>
      </c>
      <c r="F6" s="22"/>
      <c r="G6" s="22">
        <f t="shared" si="0"/>
        <v>0.10192889877944059</v>
      </c>
      <c r="H6" s="22">
        <f t="shared" si="0"/>
        <v>0.10147009498023128</v>
      </c>
      <c r="I6" s="22">
        <f t="shared" si="0"/>
        <v>0.10102893748099169</v>
      </c>
      <c r="J6" s="22">
        <f t="shared" si="0"/>
        <v>0.10060474757787663</v>
      </c>
      <c r="K6" s="22">
        <f t="shared" si="0"/>
        <v>0.10019687267103522</v>
      </c>
    </row>
    <row r="20" spans="16:16">
      <c r="P20" s="1" t="s">
        <v>75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O8" sqref="O8"/>
    </sheetView>
  </sheetViews>
  <sheetFormatPr defaultColWidth="9.109375" defaultRowHeight="11.4"/>
  <cols>
    <col min="1" max="1" width="2" style="1" customWidth="1"/>
    <col min="2" max="2" width="19.44140625" style="1" bestFit="1" customWidth="1"/>
    <col min="3" max="16384" width="9.109375" style="1"/>
  </cols>
  <sheetData>
    <row r="1" spans="2:7" ht="15.6">
      <c r="B1" s="2" t="s">
        <v>55</v>
      </c>
    </row>
    <row r="3" spans="2:7" ht="24.6" thickBot="1">
      <c r="B3" s="16" t="s">
        <v>47</v>
      </c>
      <c r="C3" s="17" t="s">
        <v>82</v>
      </c>
      <c r="D3" s="17" t="s">
        <v>83</v>
      </c>
      <c r="E3" s="17" t="s">
        <v>84</v>
      </c>
      <c r="F3" s="17" t="s">
        <v>85</v>
      </c>
      <c r="G3" s="17" t="s">
        <v>86</v>
      </c>
    </row>
    <row r="4" spans="2:7">
      <c r="B4" s="6" t="s">
        <v>125</v>
      </c>
      <c r="C4" s="12">
        <f>'Cash Flow'!G23</f>
        <v>11550.056073053489</v>
      </c>
      <c r="D4" s="12">
        <f>'Cash Flow'!H23</f>
        <v>7785.5380519379978</v>
      </c>
      <c r="E4" s="12">
        <f>'Cash Flow'!I23</f>
        <v>8016.3075740155473</v>
      </c>
      <c r="F4" s="12">
        <f>'Cash Flow'!J23</f>
        <v>8256.307876976136</v>
      </c>
      <c r="G4" s="12">
        <f>'Cash Flow'!K23</f>
        <v>8505.9081920552126</v>
      </c>
    </row>
    <row r="5" spans="2:7">
      <c r="B5" s="6" t="s">
        <v>153</v>
      </c>
      <c r="C5" s="12">
        <f>'DCF valuation'!G10</f>
        <v>10500.050975503171</v>
      </c>
      <c r="D5" s="12">
        <f>'DCF valuation'!H10</f>
        <v>6434.3289685437994</v>
      </c>
      <c r="E5" s="12">
        <f>'DCF valuation'!I10</f>
        <v>6022.7705289372989</v>
      </c>
      <c r="F5" s="12">
        <f>'DCF valuation'!J10</f>
        <v>5639.1693716113205</v>
      </c>
      <c r="G5" s="12">
        <f>'DCF valuation'!K10</f>
        <v>5281.4997684306272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Q32"/>
  <sheetViews>
    <sheetView zoomScale="89" workbookViewId="0">
      <selection activeCell="S25" sqref="S25"/>
    </sheetView>
  </sheetViews>
  <sheetFormatPr defaultColWidth="9.109375" defaultRowHeight="11.4"/>
  <cols>
    <col min="1" max="1" width="2" style="1" customWidth="1"/>
    <col min="2" max="2" width="19.109375" style="1" bestFit="1" customWidth="1"/>
    <col min="3" max="6" width="9.109375" style="1"/>
    <col min="7" max="7" width="19.109375" style="1" bestFit="1" customWidth="1"/>
    <col min="8" max="12" width="9.109375" style="1"/>
    <col min="13" max="13" width="19.109375" style="1" bestFit="1" customWidth="1"/>
    <col min="14" max="16384" width="9.109375" style="1"/>
  </cols>
  <sheetData>
    <row r="1" spans="2:17" ht="15.6">
      <c r="B1" s="2" t="s">
        <v>59</v>
      </c>
    </row>
    <row r="4" spans="2:17" ht="12.6" thickBot="1">
      <c r="B4" s="72" t="s">
        <v>154</v>
      </c>
      <c r="C4" s="73"/>
      <c r="G4" s="72" t="s">
        <v>155</v>
      </c>
      <c r="H4" s="73"/>
      <c r="M4" s="72" t="s">
        <v>156</v>
      </c>
      <c r="N4" s="73"/>
    </row>
    <row r="5" spans="2:17">
      <c r="B5" s="1" t="s">
        <v>147</v>
      </c>
      <c r="C5" s="48">
        <v>208374</v>
      </c>
      <c r="G5" s="1" t="s">
        <v>147</v>
      </c>
      <c r="H5" s="48">
        <v>134687</v>
      </c>
      <c r="M5" s="1" t="s">
        <v>147</v>
      </c>
      <c r="N5" s="31">
        <v>101216.94166051672</v>
      </c>
    </row>
    <row r="6" spans="2:17">
      <c r="B6" s="1" t="s">
        <v>157</v>
      </c>
      <c r="C6" s="22">
        <v>0.3</v>
      </c>
      <c r="G6" s="1" t="s">
        <v>157</v>
      </c>
      <c r="H6" s="74">
        <v>0.32</v>
      </c>
      <c r="M6" s="1" t="s">
        <v>157</v>
      </c>
      <c r="N6" s="22">
        <v>0.33</v>
      </c>
    </row>
    <row r="7" spans="2:17">
      <c r="B7" s="1" t="s">
        <v>145</v>
      </c>
      <c r="C7" s="22">
        <v>0.7</v>
      </c>
      <c r="G7" s="1" t="s">
        <v>145</v>
      </c>
      <c r="H7" s="74">
        <v>0.68</v>
      </c>
      <c r="M7" s="1" t="s">
        <v>145</v>
      </c>
      <c r="N7" s="22">
        <v>0.67</v>
      </c>
    </row>
    <row r="9" spans="2:17"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2:17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2:17"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2:17"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2:17"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2:17"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2:17"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2:17"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</row>
    <row r="17" spans="2:17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2:17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2:17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2:17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2:17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2:17"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2:17"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2:17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2:17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2:17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2:17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2:17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2:17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  <row r="30" spans="2:17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</row>
    <row r="31" spans="2:17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</row>
    <row r="32" spans="2:17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42" t="s">
        <v>62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tabSelected="1" zoomScaleNormal="100" workbookViewId="0">
      <selection activeCell="I18" sqref="I18"/>
    </sheetView>
  </sheetViews>
  <sheetFormatPr defaultColWidth="9.109375" defaultRowHeight="11.4"/>
  <cols>
    <col min="1" max="1" width="2" style="6" customWidth="1"/>
    <col min="2" max="2" width="27.88671875" style="6" bestFit="1" customWidth="1"/>
    <col min="3" max="3" width="9.109375" style="6"/>
    <col min="4" max="6" width="10.5546875" style="6" bestFit="1" customWidth="1"/>
    <col min="7" max="16384" width="9.109375" style="6"/>
  </cols>
  <sheetData>
    <row r="1" spans="2:13" ht="15.6">
      <c r="B1" s="5" t="s">
        <v>1</v>
      </c>
    </row>
    <row r="3" spans="2:13" ht="24">
      <c r="B3" s="7" t="s">
        <v>48</v>
      </c>
      <c r="C3" s="7"/>
      <c r="D3" s="8" t="s">
        <v>87</v>
      </c>
      <c r="E3" s="8" t="s">
        <v>88</v>
      </c>
      <c r="F3" s="8" t="s">
        <v>89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35"/>
      <c r="K5" s="35"/>
      <c r="L5" s="35"/>
      <c r="M5" s="35"/>
    </row>
    <row r="6" spans="2:13" ht="12">
      <c r="B6" s="26" t="s">
        <v>9</v>
      </c>
      <c r="C6" s="26"/>
      <c r="D6" s="27">
        <f>D4+D5</f>
        <v>180723</v>
      </c>
      <c r="E6" s="27">
        <f>E4+E5</f>
        <v>191034</v>
      </c>
      <c r="F6" s="27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63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 ht="12">
      <c r="B14" s="26" t="s">
        <v>14</v>
      </c>
      <c r="C14" s="26"/>
      <c r="D14" s="27">
        <f>D6+SUM(D8:D12)</f>
        <v>20317.317333333282</v>
      </c>
      <c r="E14" s="27">
        <f>E6+SUM(E8:E12)</f>
        <v>21213.936000000016</v>
      </c>
      <c r="F14" s="27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 ht="12">
      <c r="B18" s="26" t="s">
        <v>16</v>
      </c>
      <c r="C18" s="26"/>
      <c r="D18" s="27">
        <f>D14+D16</f>
        <v>17409.517333333282</v>
      </c>
      <c r="E18" s="27">
        <f>E14+E16</f>
        <v>16564.136000000017</v>
      </c>
      <c r="F18" s="27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 ht="12">
      <c r="B23" s="26" t="s">
        <v>19</v>
      </c>
      <c r="C23" s="26"/>
      <c r="D23" s="27">
        <f>D18+D21+D20</f>
        <v>15825.637333333281</v>
      </c>
      <c r="E23" s="27">
        <f>E18+E21+E20</f>
        <v>13508.936000000018</v>
      </c>
      <c r="F23" s="27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2.6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defaultColWidth="9.109375" defaultRowHeight="11.4"/>
  <cols>
    <col min="1" max="1" width="2" style="6" customWidth="1"/>
    <col min="2" max="2" width="24.109375" style="6" bestFit="1" customWidth="1"/>
    <col min="3" max="3" width="9.109375" style="6"/>
    <col min="4" max="4" width="10.88671875" style="6" customWidth="1"/>
    <col min="5" max="5" width="10.6640625" style="6" customWidth="1"/>
    <col min="6" max="6" width="10" style="6" bestFit="1" customWidth="1"/>
    <col min="7" max="7" width="9.109375" style="6"/>
    <col min="8" max="8" width="22.109375" style="6" bestFit="1" customWidth="1"/>
    <col min="9" max="9" width="9.109375" style="6"/>
    <col min="10" max="10" width="10" style="6" bestFit="1" customWidth="1"/>
    <col min="11" max="11" width="10.5546875" style="6" customWidth="1"/>
    <col min="12" max="12" width="11.109375" style="6" customWidth="1"/>
    <col min="13" max="16384" width="9.109375" style="6"/>
  </cols>
  <sheetData>
    <row r="1" spans="2:12" ht="15.6">
      <c r="B1" s="5" t="s">
        <v>0</v>
      </c>
    </row>
    <row r="3" spans="2:12" ht="24">
      <c r="B3" s="7" t="s">
        <v>48</v>
      </c>
      <c r="C3" s="7"/>
      <c r="D3" s="8" t="s">
        <v>90</v>
      </c>
      <c r="E3" s="8" t="s">
        <v>91</v>
      </c>
      <c r="F3" s="8" t="s">
        <v>92</v>
      </c>
      <c r="H3" s="7" t="s">
        <v>48</v>
      </c>
      <c r="I3" s="7"/>
      <c r="J3" s="8" t="s">
        <v>90</v>
      </c>
      <c r="K3" s="8" t="s">
        <v>91</v>
      </c>
      <c r="L3" s="8" t="s">
        <v>92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2.6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5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2.6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2.6" thickBot="1">
      <c r="D17" s="12"/>
      <c r="E17" s="12"/>
      <c r="F17" s="12"/>
      <c r="G17" s="12"/>
      <c r="H17" s="13" t="s">
        <v>43</v>
      </c>
      <c r="I17" s="25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2.6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5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2026-03-31T19:10:49Z</dcterms:modified>
</cp:coreProperties>
</file>